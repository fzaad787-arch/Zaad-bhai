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53" documentId="8_{A7101E18-FF01-4DF4-B3F8-2F277AB23215}" xr6:coauthVersionLast="47" xr6:coauthVersionMax="47" xr10:uidLastSave="{F59491E1-D13B-4D88-9C71-E1A24AC38654}"/>
  <bookViews>
    <workbookView xWindow="-108" yWindow="-108" windowWidth="23256" windowHeight="13896" xr2:uid="{00000000-000D-0000-FFFF-FFFF00000000}"/>
  </bookViews>
  <sheets>
    <sheet name="Text Functions" sheetId="1" r:id="rId1"/>
    <sheet name="Date Function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7" i="1"/>
  <c r="K18" i="1"/>
  <c r="K19" i="1"/>
  <c r="K20" i="1"/>
  <c r="K21" i="1"/>
  <c r="K22" i="1"/>
  <c r="K23" i="1"/>
  <c r="K15" i="1"/>
  <c r="J2" i="1"/>
  <c r="K2" i="1"/>
  <c r="L2" i="1"/>
  <c r="J3" i="1"/>
  <c r="K3" i="1"/>
  <c r="L3" i="1"/>
  <c r="J4" i="1"/>
  <c r="K4" i="1"/>
  <c r="L4" i="1"/>
  <c r="J5" i="1"/>
  <c r="E18" i="1" s="1"/>
  <c r="K5" i="1"/>
  <c r="L5" i="1"/>
  <c r="J6" i="1"/>
  <c r="K6" i="1"/>
  <c r="L6" i="1"/>
  <c r="J7" i="1"/>
  <c r="K7" i="1"/>
  <c r="L7" i="1"/>
  <c r="J8" i="1"/>
  <c r="F21" i="1" s="1"/>
  <c r="K8" i="1"/>
  <c r="L8" i="1"/>
  <c r="J9" i="1"/>
  <c r="C22" i="1" s="1"/>
  <c r="G22" i="1" s="1"/>
  <c r="K9" i="1"/>
  <c r="J10" i="1"/>
  <c r="C23" i="1" s="1"/>
  <c r="G23" i="1" s="1"/>
  <c r="K10" i="1"/>
  <c r="C19" i="1"/>
  <c r="G19" i="1" s="1"/>
  <c r="C15" i="1"/>
  <c r="G15" i="1" s="1"/>
  <c r="F20" i="1"/>
  <c r="F16" i="1"/>
  <c r="C17" i="1"/>
  <c r="G17" i="1" s="1"/>
  <c r="E16" i="1"/>
  <c r="E17" i="1"/>
  <c r="F19" i="1"/>
  <c r="B16" i="1"/>
  <c r="B17" i="1"/>
  <c r="B18" i="1"/>
  <c r="B19" i="1"/>
  <c r="B20" i="1"/>
  <c r="B21" i="1"/>
  <c r="B22" i="1"/>
  <c r="B23" i="1"/>
  <c r="B15" i="1"/>
  <c r="A16" i="1"/>
  <c r="A17" i="1"/>
  <c r="A18" i="1"/>
  <c r="A19" i="1"/>
  <c r="A20" i="1"/>
  <c r="A21" i="1"/>
  <c r="A22" i="1"/>
  <c r="A23" i="1"/>
  <c r="A15" i="1"/>
  <c r="C20" i="1"/>
  <c r="G20" i="1" s="1"/>
  <c r="H3" i="1"/>
  <c r="H4" i="1"/>
  <c r="H5" i="1"/>
  <c r="H6" i="1"/>
  <c r="H7" i="1"/>
  <c r="H8" i="1"/>
  <c r="H9" i="1"/>
  <c r="H10" i="1"/>
  <c r="H2" i="1"/>
  <c r="G3" i="1"/>
  <c r="M3" i="1" s="1"/>
  <c r="G4" i="1"/>
  <c r="M4" i="1" s="1"/>
  <c r="G5" i="1"/>
  <c r="M5" i="1" s="1"/>
  <c r="G6" i="1"/>
  <c r="M6" i="1" s="1"/>
  <c r="G7" i="1"/>
  <c r="M7" i="1" s="1"/>
  <c r="G8" i="1"/>
  <c r="M8" i="1" s="1"/>
  <c r="G9" i="1"/>
  <c r="M9" i="1" s="1"/>
  <c r="G10" i="1"/>
  <c r="M10" i="1" s="1"/>
  <c r="G2" i="1"/>
  <c r="M2" i="1" s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F6" i="3"/>
  <c r="F7" i="3"/>
  <c r="F8" i="3"/>
  <c r="F5" i="3"/>
  <c r="E6" i="3"/>
  <c r="E7" i="3"/>
  <c r="E8" i="3"/>
  <c r="E5" i="3"/>
  <c r="D6" i="3"/>
  <c r="G6" i="3" s="1"/>
  <c r="D7" i="3"/>
  <c r="G7" i="3" s="1"/>
  <c r="D8" i="3"/>
  <c r="G8" i="3" s="1"/>
  <c r="D5" i="3"/>
  <c r="G5" i="3" s="1"/>
  <c r="D2" i="3"/>
  <c r="H5" i="3" s="1"/>
  <c r="D3" i="2"/>
  <c r="D2" i="2"/>
  <c r="K24" i="1"/>
  <c r="C21" i="1" l="1"/>
  <c r="G21" i="1" s="1"/>
  <c r="C18" i="1"/>
  <c r="G18" i="1" s="1"/>
  <c r="F18" i="1"/>
  <c r="C16" i="1"/>
  <c r="G16" i="1" s="1"/>
  <c r="E22" i="1"/>
  <c r="F17" i="1"/>
  <c r="E15" i="1"/>
  <c r="E23" i="1"/>
  <c r="F15" i="1"/>
  <c r="E21" i="1"/>
  <c r="F23" i="1"/>
  <c r="E20" i="1"/>
  <c r="F22" i="1"/>
  <c r="E19" i="1"/>
  <c r="H7" i="3"/>
  <c r="H6" i="3"/>
  <c r="H8" i="3"/>
</calcChain>
</file>

<file path=xl/sharedStrings.xml><?xml version="1.0" encoding="utf-8"?>
<sst xmlns="http://schemas.openxmlformats.org/spreadsheetml/2006/main" count="93" uniqueCount="72">
  <si>
    <t>First Name</t>
  </si>
  <si>
    <t>Last Name</t>
  </si>
  <si>
    <t>Balance</t>
  </si>
  <si>
    <t>Upper</t>
  </si>
  <si>
    <t>Lower</t>
  </si>
  <si>
    <t>Proper</t>
  </si>
  <si>
    <t>Length</t>
  </si>
  <si>
    <t>Concatenate</t>
  </si>
  <si>
    <t>&amp;</t>
  </si>
  <si>
    <t>Dollar</t>
  </si>
  <si>
    <t>Exact</t>
  </si>
  <si>
    <t>Harry</t>
  </si>
  <si>
    <t>Potter</t>
  </si>
  <si>
    <t>Mike</t>
  </si>
  <si>
    <t>danny</t>
  </si>
  <si>
    <t>Bella</t>
  </si>
  <si>
    <t>Edward</t>
  </si>
  <si>
    <t>sMiTh</t>
  </si>
  <si>
    <t>Ginny</t>
  </si>
  <si>
    <t>abbababaa</t>
  </si>
  <si>
    <t>Left</t>
  </si>
  <si>
    <t>Right</t>
  </si>
  <si>
    <t>Middle</t>
  </si>
  <si>
    <t>Trim</t>
  </si>
  <si>
    <t>Rept</t>
  </si>
  <si>
    <t>AbbAbabaa</t>
  </si>
  <si>
    <t>Day</t>
  </si>
  <si>
    <t>Month</t>
  </si>
  <si>
    <t>Year</t>
  </si>
  <si>
    <t>Date Function</t>
  </si>
  <si>
    <t>Today+4</t>
  </si>
  <si>
    <t>First day of the current month</t>
  </si>
  <si>
    <t>First day of the previous month</t>
  </si>
  <si>
    <t>Last day of the current month</t>
  </si>
  <si>
    <t>Last day of the previous month</t>
  </si>
  <si>
    <t>No. of days between</t>
  </si>
  <si>
    <t>Years between</t>
  </si>
  <si>
    <t>Now</t>
  </si>
  <si>
    <t>Hour</t>
  </si>
  <si>
    <t>Minutes</t>
  </si>
  <si>
    <t>Seconds</t>
  </si>
  <si>
    <t>Weekdays</t>
  </si>
  <si>
    <t>Weeknum</t>
  </si>
  <si>
    <t>Workdays</t>
  </si>
  <si>
    <t>Holidays</t>
  </si>
  <si>
    <t>Republic day</t>
  </si>
  <si>
    <t>Ganesh Utsav</t>
  </si>
  <si>
    <t>Holiday1</t>
  </si>
  <si>
    <t>Workday.intl</t>
  </si>
  <si>
    <t>START DATE</t>
  </si>
  <si>
    <t>END DATE</t>
  </si>
  <si>
    <t>Networkdays</t>
  </si>
  <si>
    <t>with holidays</t>
  </si>
  <si>
    <t>Christmas</t>
  </si>
  <si>
    <t>Networkdaysintl</t>
  </si>
  <si>
    <t>New Year</t>
  </si>
  <si>
    <t>Independence day</t>
  </si>
  <si>
    <t>Find (Case Sensitive)</t>
  </si>
  <si>
    <t>Find position of space</t>
  </si>
  <si>
    <t>Get the first Name</t>
  </si>
  <si>
    <t>Search (Case Insentive)</t>
  </si>
  <si>
    <t>Replace (Position based replacement)</t>
  </si>
  <si>
    <t>Substitute (Char based replacment)</t>
  </si>
  <si>
    <t xml:space="preserve">           Harry           ABC</t>
  </si>
  <si>
    <t xml:space="preserve">             abc                       </t>
  </si>
  <si>
    <t xml:space="preserve">Harry </t>
  </si>
  <si>
    <t>Today's Date</t>
  </si>
  <si>
    <t>Today's Date &amp; Current Time</t>
  </si>
  <si>
    <t>Start Date</t>
  </si>
  <si>
    <t>Date</t>
  </si>
  <si>
    <t>Search (Case insensitive)</t>
  </si>
  <si>
    <t>Left &amp; 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</si>
</sst>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showGridLines="0" tabSelected="1" zoomScale="86" zoomScaleNormal="86" workbookViewId="0">
      <selection activeCell="K23" sqref="K15:K23"/>
    </sheetView>
  </sheetViews>
  <sheetFormatPr defaultRowHeight="14.4" x14ac:dyDescent="0.3"/>
  <cols>
    <col min="1" max="1" width="22.33203125" style="7" bestFit="1" customWidth="1"/>
    <col min="2" max="2" width="26.5546875" style="7" bestFit="1" customWidth="1"/>
    <col min="3" max="3" width="9.109375" style="7" bestFit="1" customWidth="1"/>
    <col min="4" max="4" width="9.109375" style="7" customWidth="1"/>
    <col min="5" max="5" width="22.88671875" style="7" bestFit="1" customWidth="1"/>
    <col min="6" max="6" width="10.21875" style="7" bestFit="1" customWidth="1"/>
    <col min="7" max="7" width="39.21875" style="7" bestFit="1" customWidth="1"/>
    <col min="8" max="8" width="24.77734375" style="7" bestFit="1" customWidth="1"/>
    <col min="9" max="9" width="36.6640625" style="7" bestFit="1" customWidth="1"/>
    <col min="10" max="10" width="13.77734375" style="7" bestFit="1" customWidth="1"/>
    <col min="11" max="11" width="27.21875" style="7" bestFit="1" customWidth="1"/>
    <col min="12" max="12" width="5.5546875" style="7" bestFit="1" customWidth="1"/>
    <col min="13" max="13" width="9.6640625" style="7" bestFit="1" customWidth="1"/>
    <col min="14" max="14" width="20.44140625" style="7" bestFit="1" customWidth="1"/>
    <col min="15" max="15" width="17.33203125" style="7" bestFit="1" customWidth="1"/>
    <col min="16" max="17" width="8.88671875" style="7"/>
    <col min="18" max="18" width="10.88671875" style="7" customWidth="1"/>
    <col min="19" max="19" width="13.6640625" style="7" customWidth="1"/>
    <col min="20" max="20" width="14.109375" style="7" customWidth="1"/>
    <col min="21" max="21" width="17.6640625" style="7" customWidth="1"/>
    <col min="22" max="16384" width="8.88671875" style="7"/>
  </cols>
  <sheetData>
    <row r="1" spans="1:15" x14ac:dyDescent="0.3">
      <c r="A1" s="6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G1" s="6" t="s">
        <v>5</v>
      </c>
      <c r="H1" s="6" t="s">
        <v>6</v>
      </c>
      <c r="I1" s="6"/>
      <c r="J1" s="6" t="s">
        <v>7</v>
      </c>
      <c r="K1" s="6" t="s">
        <v>8</v>
      </c>
      <c r="L1" s="6" t="s">
        <v>9</v>
      </c>
      <c r="M1" s="6" t="s">
        <v>10</v>
      </c>
    </row>
    <row r="2" spans="1:15" x14ac:dyDescent="0.3">
      <c r="A2" s="7" t="s">
        <v>11</v>
      </c>
      <c r="B2" s="7" t="s">
        <v>12</v>
      </c>
      <c r="C2" s="7">
        <v>1000</v>
      </c>
      <c r="E2" s="7" t="str">
        <f>UPPER(A2)</f>
        <v>HARRY</v>
      </c>
      <c r="F2" s="7" t="str">
        <f>LOWER(A2)</f>
        <v>harry</v>
      </c>
      <c r="G2" s="7" t="str">
        <f>PROPER(A2)</f>
        <v>Harry</v>
      </c>
      <c r="H2" s="7">
        <f>LEN(A2)</f>
        <v>5</v>
      </c>
      <c r="J2" s="7" t="str">
        <f>_xlfn.CONCAT(A2,B2)</f>
        <v>HarryPotter</v>
      </c>
      <c r="K2" s="7" t="str">
        <f>A2&amp;" "&amp;B2</f>
        <v>Harry Potter</v>
      </c>
      <c r="L2" s="7" t="str">
        <f>DOLLAR(C2)</f>
        <v>₹ 1,000.00</v>
      </c>
      <c r="M2" s="7" t="b">
        <f>EXACT(A2,G2)</f>
        <v>1</v>
      </c>
    </row>
    <row r="3" spans="1:15" x14ac:dyDescent="0.3">
      <c r="A3" s="7" t="s">
        <v>13</v>
      </c>
      <c r="B3" s="7" t="s">
        <v>12</v>
      </c>
      <c r="C3" s="7">
        <v>500</v>
      </c>
      <c r="E3" s="7" t="str">
        <f t="shared" ref="E3:E10" si="0">UPPER(A3)</f>
        <v>MIKE</v>
      </c>
      <c r="F3" s="7" t="str">
        <f t="shared" ref="F3:F10" si="1">LOWER(A3)</f>
        <v>mike</v>
      </c>
      <c r="G3" s="7" t="str">
        <f t="shared" ref="G3:G10" si="2">PROPER(A3)</f>
        <v>Mike</v>
      </c>
      <c r="H3" s="7">
        <f t="shared" ref="H3:H10" si="3">LEN(A3)</f>
        <v>4</v>
      </c>
      <c r="J3" s="7" t="str">
        <f>_xlfn.CONCAT(A3,B3)</f>
        <v>MikePotter</v>
      </c>
      <c r="K3" s="7" t="str">
        <f>A3&amp;" "&amp;B3</f>
        <v>Mike Potter</v>
      </c>
      <c r="L3" s="7" t="str">
        <f>DOLLAR(C3)</f>
        <v>₹ 500.00</v>
      </c>
      <c r="M3" s="7" t="b">
        <f>EXACT(A3,G3)</f>
        <v>1</v>
      </c>
    </row>
    <row r="4" spans="1:15" x14ac:dyDescent="0.3">
      <c r="A4" s="7" t="s">
        <v>14</v>
      </c>
      <c r="B4" s="7" t="s">
        <v>12</v>
      </c>
      <c r="C4" s="7">
        <v>350</v>
      </c>
      <c r="E4" s="7" t="str">
        <f t="shared" si="0"/>
        <v>DANNY</v>
      </c>
      <c r="F4" s="7" t="str">
        <f t="shared" si="1"/>
        <v>danny</v>
      </c>
      <c r="G4" s="7" t="str">
        <f t="shared" si="2"/>
        <v>Danny</v>
      </c>
      <c r="H4" s="7">
        <f t="shared" si="3"/>
        <v>5</v>
      </c>
      <c r="J4" s="7" t="str">
        <f>_xlfn.CONCAT(A4,B4)</f>
        <v>dannyPotter</v>
      </c>
      <c r="K4" s="7" t="str">
        <f>A4&amp;" "&amp;B4</f>
        <v>danny Potter</v>
      </c>
      <c r="L4" s="7" t="str">
        <f>DOLLAR(C4)</f>
        <v>₹ 350.00</v>
      </c>
      <c r="M4" s="7" t="b">
        <f>EXACT(A4,G4)</f>
        <v>0</v>
      </c>
    </row>
    <row r="5" spans="1:15" x14ac:dyDescent="0.3">
      <c r="A5" s="7" t="s">
        <v>15</v>
      </c>
      <c r="B5" s="7" t="s">
        <v>12</v>
      </c>
      <c r="C5" s="7">
        <v>300</v>
      </c>
      <c r="E5" s="7" t="str">
        <f t="shared" si="0"/>
        <v>BELLA</v>
      </c>
      <c r="F5" s="7" t="str">
        <f t="shared" si="1"/>
        <v>bella</v>
      </c>
      <c r="G5" s="7" t="str">
        <f t="shared" si="2"/>
        <v>Bella</v>
      </c>
      <c r="H5" s="7">
        <f t="shared" si="3"/>
        <v>5</v>
      </c>
      <c r="J5" s="7" t="str">
        <f>_xlfn.CONCAT(A5,B5)</f>
        <v>BellaPotter</v>
      </c>
      <c r="K5" s="7" t="str">
        <f>A5&amp;" "&amp;B5</f>
        <v>Bella Potter</v>
      </c>
      <c r="L5" s="7" t="str">
        <f>DOLLAR(C5)</f>
        <v>₹ 300.00</v>
      </c>
      <c r="M5" s="7" t="b">
        <f>EXACT(A5,G5)</f>
        <v>1</v>
      </c>
    </row>
    <row r="6" spans="1:15" x14ac:dyDescent="0.3">
      <c r="A6" s="7" t="s">
        <v>16</v>
      </c>
      <c r="B6" s="7" t="s">
        <v>12</v>
      </c>
      <c r="C6" s="7">
        <v>0</v>
      </c>
      <c r="E6" s="7" t="str">
        <f t="shared" si="0"/>
        <v>EDWARD</v>
      </c>
      <c r="F6" s="7" t="str">
        <f t="shared" si="1"/>
        <v>edward</v>
      </c>
      <c r="G6" s="7" t="str">
        <f t="shared" si="2"/>
        <v>Edward</v>
      </c>
      <c r="H6" s="7">
        <f t="shared" si="3"/>
        <v>6</v>
      </c>
      <c r="J6" s="7" t="str">
        <f>_xlfn.CONCAT(A6,B6)</f>
        <v>EdwardPotter</v>
      </c>
      <c r="K6" s="7" t="str">
        <f>A6&amp;" "&amp;B6</f>
        <v>Edward Potter</v>
      </c>
      <c r="L6" s="7" t="str">
        <f>DOLLAR(C6)</f>
        <v>₹ 0.00</v>
      </c>
      <c r="M6" s="7" t="b">
        <f>EXACT(A6,G6)</f>
        <v>1</v>
      </c>
    </row>
    <row r="7" spans="1:15" x14ac:dyDescent="0.3">
      <c r="A7" s="7" t="s">
        <v>17</v>
      </c>
      <c r="B7" s="7" t="s">
        <v>12</v>
      </c>
      <c r="C7" s="7">
        <v>100</v>
      </c>
      <c r="E7" s="7" t="str">
        <f t="shared" si="0"/>
        <v>SMITH</v>
      </c>
      <c r="F7" s="7" t="str">
        <f t="shared" si="1"/>
        <v>smith</v>
      </c>
      <c r="G7" s="7" t="str">
        <f t="shared" si="2"/>
        <v>Smith</v>
      </c>
      <c r="H7" s="7">
        <f t="shared" si="3"/>
        <v>5</v>
      </c>
      <c r="J7" s="7" t="str">
        <f>_xlfn.CONCAT(A7,B7)</f>
        <v>sMiThPotter</v>
      </c>
      <c r="K7" s="7" t="str">
        <f>A7&amp;" "&amp;B7</f>
        <v>sMiTh Potter</v>
      </c>
      <c r="L7" s="7" t="str">
        <f>DOLLAR(C7)</f>
        <v>₹ 100.00</v>
      </c>
      <c r="M7" s="7" t="b">
        <f>EXACT(A7,G7)</f>
        <v>0</v>
      </c>
    </row>
    <row r="8" spans="1:15" x14ac:dyDescent="0.3">
      <c r="A8" s="7" t="s">
        <v>18</v>
      </c>
      <c r="B8" s="7" t="s">
        <v>12</v>
      </c>
      <c r="C8" s="7">
        <v>20</v>
      </c>
      <c r="E8" s="7" t="str">
        <f t="shared" si="0"/>
        <v>GINNY</v>
      </c>
      <c r="F8" s="7" t="str">
        <f t="shared" si="1"/>
        <v>ginny</v>
      </c>
      <c r="G8" s="7" t="str">
        <f t="shared" si="2"/>
        <v>Ginny</v>
      </c>
      <c r="H8" s="7">
        <f t="shared" si="3"/>
        <v>5</v>
      </c>
      <c r="J8" s="7" t="str">
        <f>_xlfn.CONCAT(A8,B8)</f>
        <v>GinnyPotter</v>
      </c>
      <c r="K8" s="7" t="str">
        <f>A8&amp;" "&amp;B8</f>
        <v>Ginny Potter</v>
      </c>
      <c r="L8" s="7" t="str">
        <f>DOLLAR(C8)</f>
        <v>₹ 20.00</v>
      </c>
      <c r="M8" s="7" t="b">
        <f>EXACT(A8,G8)</f>
        <v>1</v>
      </c>
    </row>
    <row r="9" spans="1:15" x14ac:dyDescent="0.3">
      <c r="A9" s="7" t="s">
        <v>19</v>
      </c>
      <c r="E9" s="7" t="str">
        <f t="shared" si="0"/>
        <v>ABBABABAA</v>
      </c>
      <c r="F9" s="7" t="str">
        <f t="shared" si="1"/>
        <v>abbababaa</v>
      </c>
      <c r="G9" s="7" t="str">
        <f t="shared" si="2"/>
        <v>Abbababaa</v>
      </c>
      <c r="H9" s="7">
        <f t="shared" si="3"/>
        <v>9</v>
      </c>
      <c r="J9" s="7" t="str">
        <f>_xlfn.CONCAT(A9,B9)</f>
        <v>abbababaa</v>
      </c>
      <c r="K9" s="7" t="str">
        <f>A9&amp;" "&amp;B9</f>
        <v xml:space="preserve">abbababaa </v>
      </c>
      <c r="M9" s="7" t="b">
        <f>EXACT(A9,G9)</f>
        <v>0</v>
      </c>
    </row>
    <row r="10" spans="1:15" x14ac:dyDescent="0.3">
      <c r="A10" s="7" t="s">
        <v>19</v>
      </c>
      <c r="E10" s="7" t="str">
        <f t="shared" si="0"/>
        <v>ABBABABAA</v>
      </c>
      <c r="F10" s="7" t="str">
        <f t="shared" si="1"/>
        <v>abbababaa</v>
      </c>
      <c r="G10" s="7" t="str">
        <f t="shared" si="2"/>
        <v>Abbababaa</v>
      </c>
      <c r="H10" s="7">
        <f t="shared" si="3"/>
        <v>9</v>
      </c>
      <c r="J10" s="7" t="str">
        <f>_xlfn.CONCAT(A10,B10)</f>
        <v>abbababaa</v>
      </c>
      <c r="K10" s="7" t="str">
        <f>A10&amp;" "&amp;B10</f>
        <v xml:space="preserve">abbababaa </v>
      </c>
      <c r="M10" s="7" t="b">
        <f>EXACT(A10,G10)</f>
        <v>0</v>
      </c>
    </row>
    <row r="14" spans="1:15" x14ac:dyDescent="0.3">
      <c r="A14" s="8" t="s">
        <v>57</v>
      </c>
      <c r="B14" s="8" t="s">
        <v>70</v>
      </c>
      <c r="C14" s="8" t="s">
        <v>20</v>
      </c>
      <c r="D14" s="8" t="s">
        <v>71</v>
      </c>
      <c r="E14" s="8" t="s">
        <v>21</v>
      </c>
      <c r="F14" s="8" t="s">
        <v>22</v>
      </c>
      <c r="G14" s="8" t="s">
        <v>61</v>
      </c>
      <c r="H14" s="8" t="s">
        <v>60</v>
      </c>
      <c r="I14" s="8" t="s">
        <v>62</v>
      </c>
      <c r="J14" s="8" t="s">
        <v>23</v>
      </c>
      <c r="K14" s="8" t="s">
        <v>24</v>
      </c>
      <c r="L14" s="8" t="s">
        <v>23</v>
      </c>
      <c r="M14" s="8" t="s">
        <v>24</v>
      </c>
      <c r="N14" s="9" t="s">
        <v>58</v>
      </c>
      <c r="O14" s="9" t="s">
        <v>59</v>
      </c>
    </row>
    <row r="15" spans="1:15" x14ac:dyDescent="0.3">
      <c r="A15" s="10">
        <f>FIND("H",A2)</f>
        <v>1</v>
      </c>
      <c r="B15" s="10">
        <f>SEARCH("h",A2)</f>
        <v>1</v>
      </c>
      <c r="C15" s="10" t="str">
        <f>LEFT(J2,5)</f>
        <v>Harry</v>
      </c>
      <c r="D15" s="10"/>
      <c r="E15" s="10" t="str">
        <f>RIGHT(J2,5)</f>
        <v>otter</v>
      </c>
      <c r="F15" s="10" t="str">
        <f>MID(J2,6,4)</f>
        <v>Pott</v>
      </c>
      <c r="G15" s="10" t="str">
        <f>REPLACE(C15,1,2,"LA")</f>
        <v>LArry</v>
      </c>
      <c r="H15" s="10"/>
      <c r="I15" s="10"/>
      <c r="J15" s="10"/>
      <c r="K15" s="10" t="str">
        <f>REPT(C15,5)</f>
        <v>HarryHarryHarryHarryHarry</v>
      </c>
      <c r="L15" s="10"/>
      <c r="M15" s="10"/>
      <c r="N15" s="10"/>
      <c r="O15" s="10"/>
    </row>
    <row r="16" spans="1:15" x14ac:dyDescent="0.3">
      <c r="A16" s="10" t="e">
        <f t="shared" ref="A16:A23" si="4">FIND("H",A3)</f>
        <v>#VALUE!</v>
      </c>
      <c r="B16" s="10" t="e">
        <f t="shared" ref="B16:B23" si="5">SEARCH("h",A3)</f>
        <v>#VALUE!</v>
      </c>
      <c r="C16" s="10" t="str">
        <f t="shared" ref="C16:C23" si="6">LEFT(J3,5)</f>
        <v>MikeP</v>
      </c>
      <c r="D16" s="10"/>
      <c r="E16" s="10" t="str">
        <f t="shared" ref="E16:E23" si="7">RIGHT(J3,5)</f>
        <v>otter</v>
      </c>
      <c r="F16" s="10" t="str">
        <f t="shared" ref="F16:F23" si="8">MID(J3,6,4)</f>
        <v>otte</v>
      </c>
      <c r="G16" s="10" t="str">
        <f t="shared" ref="G16:G23" si="9">REPLACE(C16,1,2,"LA")</f>
        <v>LAkeP</v>
      </c>
      <c r="H16" s="10"/>
      <c r="I16" s="10"/>
      <c r="J16" s="10"/>
      <c r="K16" s="10" t="str">
        <f t="shared" ref="K16:K23" si="10">REPT(C16,5)</f>
        <v>MikePMikePMikePMikePMikeP</v>
      </c>
      <c r="L16" s="10"/>
      <c r="M16" s="10"/>
      <c r="N16" s="10"/>
      <c r="O16" s="10"/>
    </row>
    <row r="17" spans="1:15" x14ac:dyDescent="0.3">
      <c r="A17" s="10" t="e">
        <f t="shared" si="4"/>
        <v>#VALUE!</v>
      </c>
      <c r="B17" s="10" t="e">
        <f t="shared" si="5"/>
        <v>#VALUE!</v>
      </c>
      <c r="C17" s="10" t="str">
        <f t="shared" si="6"/>
        <v>danny</v>
      </c>
      <c r="D17" s="10"/>
      <c r="E17" s="10" t="str">
        <f t="shared" si="7"/>
        <v>otter</v>
      </c>
      <c r="F17" s="10" t="str">
        <f t="shared" si="8"/>
        <v>Pott</v>
      </c>
      <c r="G17" s="10" t="str">
        <f t="shared" si="9"/>
        <v>LAnny</v>
      </c>
      <c r="H17" s="10"/>
      <c r="I17" s="10"/>
      <c r="J17" s="10"/>
      <c r="K17" s="10" t="str">
        <f t="shared" si="10"/>
        <v>dannydannydannydannydanny</v>
      </c>
      <c r="L17" s="10"/>
      <c r="M17" s="10"/>
      <c r="N17" s="10"/>
      <c r="O17" s="10"/>
    </row>
    <row r="18" spans="1:15" x14ac:dyDescent="0.3">
      <c r="A18" s="10" t="e">
        <f t="shared" si="4"/>
        <v>#VALUE!</v>
      </c>
      <c r="B18" s="10" t="e">
        <f t="shared" si="5"/>
        <v>#VALUE!</v>
      </c>
      <c r="C18" s="10" t="str">
        <f t="shared" si="6"/>
        <v>Bella</v>
      </c>
      <c r="D18" s="10"/>
      <c r="E18" s="10" t="str">
        <f t="shared" si="7"/>
        <v>otter</v>
      </c>
      <c r="F18" s="10" t="str">
        <f t="shared" si="8"/>
        <v>Pott</v>
      </c>
      <c r="G18" s="10" t="str">
        <f t="shared" si="9"/>
        <v>LAlla</v>
      </c>
      <c r="H18" s="10"/>
      <c r="I18" s="10"/>
      <c r="J18" s="10"/>
      <c r="K18" s="10" t="str">
        <f t="shared" si="10"/>
        <v>BellaBellaBellaBellaBella</v>
      </c>
      <c r="L18" s="10"/>
      <c r="M18" s="10"/>
      <c r="N18" s="10"/>
      <c r="O18" s="10"/>
    </row>
    <row r="19" spans="1:15" x14ac:dyDescent="0.3">
      <c r="A19" s="10" t="e">
        <f t="shared" si="4"/>
        <v>#VALUE!</v>
      </c>
      <c r="B19" s="10" t="e">
        <f t="shared" si="5"/>
        <v>#VALUE!</v>
      </c>
      <c r="C19" s="10" t="str">
        <f t="shared" si="6"/>
        <v>Edwar</v>
      </c>
      <c r="D19" s="10"/>
      <c r="E19" s="10" t="str">
        <f t="shared" si="7"/>
        <v>otter</v>
      </c>
      <c r="F19" s="10" t="str">
        <f t="shared" si="8"/>
        <v>dPot</v>
      </c>
      <c r="G19" s="10" t="str">
        <f t="shared" si="9"/>
        <v>LAwar</v>
      </c>
      <c r="H19" s="10"/>
      <c r="I19" s="10"/>
      <c r="J19" s="10"/>
      <c r="K19" s="10" t="str">
        <f t="shared" si="10"/>
        <v>EdwarEdwarEdwarEdwarEdwar</v>
      </c>
      <c r="L19" s="10"/>
      <c r="M19" s="10"/>
      <c r="N19" s="10"/>
      <c r="O19" s="10"/>
    </row>
    <row r="20" spans="1:15" x14ac:dyDescent="0.3">
      <c r="A20" s="10" t="e">
        <f t="shared" si="4"/>
        <v>#VALUE!</v>
      </c>
      <c r="B20" s="10">
        <f t="shared" si="5"/>
        <v>5</v>
      </c>
      <c r="C20" s="10" t="str">
        <f t="shared" si="6"/>
        <v>sMiTh</v>
      </c>
      <c r="D20" s="10"/>
      <c r="E20" s="10" t="str">
        <f t="shared" si="7"/>
        <v>otter</v>
      </c>
      <c r="F20" s="10" t="str">
        <f t="shared" si="8"/>
        <v>Pott</v>
      </c>
      <c r="G20" s="10" t="str">
        <f t="shared" si="9"/>
        <v>LAiTh</v>
      </c>
      <c r="H20" s="10"/>
      <c r="I20" s="10"/>
      <c r="J20" s="10"/>
      <c r="K20" s="10" t="str">
        <f t="shared" si="10"/>
        <v>sMiThsMiThsMiThsMiThsMiTh</v>
      </c>
      <c r="L20" s="10"/>
      <c r="M20" s="10"/>
      <c r="N20" s="10"/>
      <c r="O20" s="10"/>
    </row>
    <row r="21" spans="1:15" x14ac:dyDescent="0.3">
      <c r="A21" s="10" t="e">
        <f t="shared" si="4"/>
        <v>#VALUE!</v>
      </c>
      <c r="B21" s="10" t="e">
        <f t="shared" si="5"/>
        <v>#VALUE!</v>
      </c>
      <c r="C21" s="10" t="str">
        <f t="shared" si="6"/>
        <v>Ginny</v>
      </c>
      <c r="D21" s="10"/>
      <c r="E21" s="10" t="str">
        <f t="shared" si="7"/>
        <v>otter</v>
      </c>
      <c r="F21" s="10" t="str">
        <f t="shared" si="8"/>
        <v>Pott</v>
      </c>
      <c r="G21" s="10" t="str">
        <f t="shared" si="9"/>
        <v>LAnny</v>
      </c>
      <c r="H21" s="10"/>
      <c r="I21" s="10"/>
      <c r="J21" s="10"/>
      <c r="K21" s="10" t="str">
        <f t="shared" si="10"/>
        <v>GinnyGinnyGinnyGinnyGinny</v>
      </c>
      <c r="L21" s="10"/>
      <c r="M21" s="10"/>
      <c r="N21" s="10"/>
      <c r="O21" s="10"/>
    </row>
    <row r="22" spans="1:15" x14ac:dyDescent="0.3">
      <c r="A22" s="10" t="e">
        <f t="shared" si="4"/>
        <v>#VALUE!</v>
      </c>
      <c r="B22" s="10" t="e">
        <f t="shared" si="5"/>
        <v>#VALUE!</v>
      </c>
      <c r="C22" s="10" t="str">
        <f t="shared" si="6"/>
        <v>abbab</v>
      </c>
      <c r="D22" s="10"/>
      <c r="E22" s="10" t="str">
        <f t="shared" si="7"/>
        <v>babaa</v>
      </c>
      <c r="F22" s="10" t="str">
        <f t="shared" si="8"/>
        <v>abaa</v>
      </c>
      <c r="G22" s="10" t="str">
        <f t="shared" si="9"/>
        <v>LAbab</v>
      </c>
      <c r="H22" s="10"/>
      <c r="I22" s="10"/>
      <c r="J22" s="10"/>
      <c r="K22" s="10" t="str">
        <f t="shared" si="10"/>
        <v>abbababbababbababbababbab</v>
      </c>
      <c r="L22" s="10"/>
      <c r="M22" s="10"/>
      <c r="N22" s="10"/>
      <c r="O22" s="10"/>
    </row>
    <row r="23" spans="1:15" x14ac:dyDescent="0.3">
      <c r="A23" s="10" t="e">
        <f t="shared" si="4"/>
        <v>#VALUE!</v>
      </c>
      <c r="B23" s="10" t="e">
        <f t="shared" si="5"/>
        <v>#VALUE!</v>
      </c>
      <c r="C23" s="10" t="str">
        <f t="shared" si="6"/>
        <v>abbab</v>
      </c>
      <c r="D23" s="10"/>
      <c r="E23" s="10" t="str">
        <f t="shared" si="7"/>
        <v>babaa</v>
      </c>
      <c r="F23" s="10" t="str">
        <f t="shared" si="8"/>
        <v>abaa</v>
      </c>
      <c r="G23" s="10" t="str">
        <f t="shared" si="9"/>
        <v>LAbab</v>
      </c>
      <c r="H23" s="10"/>
      <c r="I23" s="10"/>
      <c r="J23" s="10"/>
      <c r="K23" s="10" t="str">
        <f t="shared" si="10"/>
        <v>abbababbababbababbababbab</v>
      </c>
      <c r="L23" s="10"/>
      <c r="M23" s="10"/>
      <c r="N23" s="10"/>
      <c r="O23" s="10"/>
    </row>
    <row r="24" spans="1:15" x14ac:dyDescent="0.3">
      <c r="K24" s="7" t="str">
        <f t="shared" ref="K24" si="11">SUBSTITUTE(I11,"a","@")</f>
        <v/>
      </c>
    </row>
    <row r="27" spans="1:15" x14ac:dyDescent="0.3">
      <c r="E27" s="7" t="s">
        <v>63</v>
      </c>
    </row>
    <row r="28" spans="1:15" x14ac:dyDescent="0.3">
      <c r="A28" s="7" t="s">
        <v>13</v>
      </c>
      <c r="E28" s="7" t="s">
        <v>64</v>
      </c>
      <c r="J28" s="7" t="s">
        <v>65</v>
      </c>
    </row>
    <row r="29" spans="1:15" x14ac:dyDescent="0.3">
      <c r="A29" s="7" t="s">
        <v>14</v>
      </c>
    </row>
    <row r="30" spans="1:15" x14ac:dyDescent="0.3">
      <c r="A30" s="7" t="s">
        <v>15</v>
      </c>
    </row>
    <row r="31" spans="1:15" x14ac:dyDescent="0.3">
      <c r="A31" s="7" t="s">
        <v>16</v>
      </c>
    </row>
    <row r="32" spans="1:15" x14ac:dyDescent="0.3">
      <c r="A32" s="7" t="s">
        <v>17</v>
      </c>
    </row>
    <row r="33" spans="1:1" x14ac:dyDescent="0.3">
      <c r="A33" s="7" t="s">
        <v>18</v>
      </c>
    </row>
    <row r="34" spans="1:1" x14ac:dyDescent="0.3">
      <c r="A34" s="7" t="s">
        <v>19</v>
      </c>
    </row>
    <row r="35" spans="1:1" x14ac:dyDescent="0.3">
      <c r="A35" s="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47"/>
  <sheetViews>
    <sheetView zoomScale="124" zoomScaleNormal="124" workbookViewId="0">
      <selection activeCell="D3" sqref="D3"/>
    </sheetView>
  </sheetViews>
  <sheetFormatPr defaultRowHeight="14.4" x14ac:dyDescent="0.3"/>
  <cols>
    <col min="3" max="3" width="44.33203125" customWidth="1"/>
    <col min="4" max="4" width="45.109375" customWidth="1"/>
    <col min="6" max="6" width="39" customWidth="1"/>
    <col min="7" max="7" width="12.109375" bestFit="1" customWidth="1"/>
    <col min="8" max="8" width="10.33203125" bestFit="1" customWidth="1"/>
  </cols>
  <sheetData>
    <row r="2" spans="3:4" x14ac:dyDescent="0.3">
      <c r="C2" s="2" t="s">
        <v>66</v>
      </c>
      <c r="D2" s="3">
        <f ca="1">TODAY()</f>
        <v>46288</v>
      </c>
    </row>
    <row r="3" spans="3:4" x14ac:dyDescent="0.3">
      <c r="C3" s="2" t="s">
        <v>67</v>
      </c>
      <c r="D3" s="5">
        <f ca="1">NOW()</f>
        <v>46288.791941898147</v>
      </c>
    </row>
    <row r="4" spans="3:4" hidden="1" x14ac:dyDescent="0.3">
      <c r="C4" s="2" t="s">
        <v>26</v>
      </c>
    </row>
    <row r="5" spans="3:4" x14ac:dyDescent="0.3">
      <c r="C5" s="2" t="s">
        <v>27</v>
      </c>
    </row>
    <row r="6" spans="3:4" x14ac:dyDescent="0.3">
      <c r="C6" s="2" t="s">
        <v>28</v>
      </c>
    </row>
    <row r="7" spans="3:4" x14ac:dyDescent="0.3">
      <c r="C7" s="2"/>
    </row>
    <row r="8" spans="3:4" x14ac:dyDescent="0.3">
      <c r="C8" s="2"/>
    </row>
    <row r="9" spans="3:4" x14ac:dyDescent="0.3">
      <c r="C9" s="2" t="s">
        <v>29</v>
      </c>
    </row>
    <row r="10" spans="3:4" x14ac:dyDescent="0.3">
      <c r="C10" s="2" t="s">
        <v>30</v>
      </c>
    </row>
    <row r="11" spans="3:4" x14ac:dyDescent="0.3">
      <c r="C11" s="2"/>
    </row>
    <row r="13" spans="3:4" x14ac:dyDescent="0.3">
      <c r="C13" s="2" t="s">
        <v>31</v>
      </c>
    </row>
    <row r="14" spans="3:4" x14ac:dyDescent="0.3">
      <c r="C14" s="2" t="s">
        <v>32</v>
      </c>
    </row>
    <row r="15" spans="3:4" x14ac:dyDescent="0.3">
      <c r="C15" s="2"/>
    </row>
    <row r="16" spans="3:4" x14ac:dyDescent="0.3">
      <c r="C16" s="2" t="s">
        <v>33</v>
      </c>
    </row>
    <row r="17" spans="3:8" x14ac:dyDescent="0.3">
      <c r="C17" s="2" t="s">
        <v>34</v>
      </c>
    </row>
    <row r="19" spans="3:8" x14ac:dyDescent="0.3">
      <c r="C19" s="2" t="s">
        <v>35</v>
      </c>
    </row>
    <row r="20" spans="3:8" x14ac:dyDescent="0.3">
      <c r="C20" s="2" t="s">
        <v>36</v>
      </c>
    </row>
    <row r="22" spans="3:8" x14ac:dyDescent="0.3">
      <c r="C22" s="2" t="s">
        <v>37</v>
      </c>
    </row>
    <row r="23" spans="3:8" x14ac:dyDescent="0.3">
      <c r="C23" s="2" t="s">
        <v>38</v>
      </c>
    </row>
    <row r="24" spans="3:8" x14ac:dyDescent="0.3">
      <c r="C24" s="2" t="s">
        <v>39</v>
      </c>
    </row>
    <row r="25" spans="3:8" x14ac:dyDescent="0.3">
      <c r="C25" s="2" t="s">
        <v>40</v>
      </c>
    </row>
    <row r="27" spans="3:8" x14ac:dyDescent="0.3">
      <c r="C27" s="2" t="s">
        <v>41</v>
      </c>
    </row>
    <row r="28" spans="3:8" x14ac:dyDescent="0.3">
      <c r="C28" s="2" t="s">
        <v>42</v>
      </c>
    </row>
    <row r="29" spans="3:8" x14ac:dyDescent="0.3">
      <c r="C29" s="2"/>
    </row>
    <row r="31" spans="3:8" x14ac:dyDescent="0.3">
      <c r="C31" s="2" t="s">
        <v>43</v>
      </c>
      <c r="G31" s="1" t="s">
        <v>44</v>
      </c>
    </row>
    <row r="32" spans="3:8" x14ac:dyDescent="0.3">
      <c r="G32" t="s">
        <v>45</v>
      </c>
      <c r="H32" s="3">
        <v>44952</v>
      </c>
    </row>
    <row r="33" spans="3:8" x14ac:dyDescent="0.3">
      <c r="G33" t="s">
        <v>46</v>
      </c>
      <c r="H33" s="3">
        <v>45188</v>
      </c>
    </row>
    <row r="34" spans="3:8" x14ac:dyDescent="0.3">
      <c r="G34" t="s">
        <v>47</v>
      </c>
      <c r="H34" s="3">
        <v>45180</v>
      </c>
    </row>
    <row r="35" spans="3:8" x14ac:dyDescent="0.3">
      <c r="C35" s="2" t="s">
        <v>48</v>
      </c>
    </row>
    <row r="39" spans="3:8" x14ac:dyDescent="0.3">
      <c r="C39" s="4" t="s">
        <v>49</v>
      </c>
      <c r="D39" s="3">
        <v>42005</v>
      </c>
    </row>
    <row r="40" spans="3:8" x14ac:dyDescent="0.3">
      <c r="C40" s="4" t="s">
        <v>50</v>
      </c>
      <c r="D40" s="3">
        <v>42339</v>
      </c>
    </row>
    <row r="41" spans="3:8" x14ac:dyDescent="0.3">
      <c r="C41" s="2"/>
    </row>
    <row r="42" spans="3:8" x14ac:dyDescent="0.3">
      <c r="C42" s="2"/>
    </row>
    <row r="43" spans="3:8" x14ac:dyDescent="0.3">
      <c r="C43" s="2"/>
    </row>
    <row r="44" spans="3:8" x14ac:dyDescent="0.3">
      <c r="C44" s="2" t="s">
        <v>51</v>
      </c>
      <c r="G44" s="1" t="s">
        <v>44</v>
      </c>
    </row>
    <row r="45" spans="3:8" x14ac:dyDescent="0.3">
      <c r="C45" s="2" t="s">
        <v>52</v>
      </c>
      <c r="G45" t="s">
        <v>53</v>
      </c>
      <c r="H45" s="3">
        <v>42363</v>
      </c>
    </row>
    <row r="46" spans="3:8" x14ac:dyDescent="0.3">
      <c r="C46" s="2" t="s">
        <v>54</v>
      </c>
      <c r="G46" t="s">
        <v>55</v>
      </c>
      <c r="H46" s="3">
        <v>42005</v>
      </c>
    </row>
    <row r="47" spans="3:8" x14ac:dyDescent="0.3">
      <c r="G47" t="s">
        <v>56</v>
      </c>
      <c r="H47" s="3">
        <v>42231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H8"/>
  <sheetViews>
    <sheetView zoomScale="102" zoomScaleNormal="102" workbookViewId="0"/>
  </sheetViews>
  <sheetFormatPr defaultRowHeight="14.4" x14ac:dyDescent="0.3"/>
  <cols>
    <col min="3" max="3" width="17.5546875" customWidth="1"/>
    <col min="7" max="7" width="10.109375" bestFit="1" customWidth="1"/>
  </cols>
  <sheetData>
    <row r="2" spans="3:8" x14ac:dyDescent="0.3">
      <c r="C2" t="s">
        <v>66</v>
      </c>
      <c r="D2" s="3">
        <f ca="1">TODAY()</f>
        <v>46288</v>
      </c>
    </row>
    <row r="4" spans="3:8" x14ac:dyDescent="0.3">
      <c r="C4" t="s">
        <v>68</v>
      </c>
      <c r="D4" t="s">
        <v>28</v>
      </c>
      <c r="E4" t="s">
        <v>27</v>
      </c>
      <c r="F4" t="s">
        <v>26</v>
      </c>
      <c r="G4" t="s">
        <v>69</v>
      </c>
    </row>
    <row r="5" spans="3:8" x14ac:dyDescent="0.3">
      <c r="C5" s="3">
        <v>38961</v>
      </c>
      <c r="D5">
        <f>YEAR(C5)</f>
        <v>2006</v>
      </c>
      <c r="E5">
        <f>MONTH(C5)</f>
        <v>9</v>
      </c>
      <c r="F5">
        <f>DAY(C5)</f>
        <v>1</v>
      </c>
      <c r="G5" s="3">
        <f>DATE(D5,E5,F5)</f>
        <v>38961</v>
      </c>
      <c r="H5">
        <f ca="1">$D$2-C5</f>
        <v>7327</v>
      </c>
    </row>
    <row r="6" spans="3:8" x14ac:dyDescent="0.3">
      <c r="C6" s="3">
        <v>40148</v>
      </c>
      <c r="D6">
        <f t="shared" ref="D6:D8" si="0">YEAR(C6)</f>
        <v>2009</v>
      </c>
      <c r="E6">
        <f t="shared" ref="E6:E8" si="1">MONTH(C6)</f>
        <v>12</v>
      </c>
      <c r="F6">
        <f t="shared" ref="F6:F8" si="2">DAY(C6)</f>
        <v>1</v>
      </c>
      <c r="G6" s="3">
        <f t="shared" ref="G6:G8" si="3">DATE(D6,E6,F6)</f>
        <v>40148</v>
      </c>
      <c r="H6">
        <f ca="1">$D$2-C6</f>
        <v>6140</v>
      </c>
    </row>
    <row r="7" spans="3:8" x14ac:dyDescent="0.3">
      <c r="C7" s="3">
        <v>42050</v>
      </c>
      <c r="D7">
        <f t="shared" si="0"/>
        <v>2015</v>
      </c>
      <c r="E7">
        <f t="shared" si="1"/>
        <v>2</v>
      </c>
      <c r="F7">
        <f t="shared" si="2"/>
        <v>15</v>
      </c>
      <c r="G7" s="3">
        <f t="shared" si="3"/>
        <v>42050</v>
      </c>
      <c r="H7">
        <f ca="1">$D$2-C7</f>
        <v>4238</v>
      </c>
    </row>
    <row r="8" spans="3:8" x14ac:dyDescent="0.3">
      <c r="C8" s="3">
        <v>45474</v>
      </c>
      <c r="D8">
        <f t="shared" si="0"/>
        <v>2024</v>
      </c>
      <c r="E8">
        <f t="shared" si="1"/>
        <v>7</v>
      </c>
      <c r="F8">
        <f t="shared" si="2"/>
        <v>1</v>
      </c>
      <c r="G8" s="3">
        <f t="shared" si="3"/>
        <v>45474</v>
      </c>
      <c r="H8">
        <f t="shared" ref="H8" ca="1" si="4">$D$2-C8</f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Functions</vt:lpstr>
      <vt:lpstr>Date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Farrukhzaad Baig</cp:lastModifiedBy>
  <dcterms:created xsi:type="dcterms:W3CDTF">2015-06-05T18:17:20Z</dcterms:created>
  <dcterms:modified xsi:type="dcterms:W3CDTF">2026-09-23T13:30:27Z</dcterms:modified>
</cp:coreProperties>
</file>