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ENT" sheetId="1" r:id="rId4"/>
    <sheet state="visible" name="AND OR NOT" sheetId="2" r:id="rId5"/>
    <sheet state="visible" name="If statements" sheetId="3" r:id="rId6"/>
    <sheet state="visible" name="ISERROR" sheetId="4" r:id="rId7"/>
    <sheet state="visible" name="Sumif" sheetId="5" r:id="rId8"/>
    <sheet state="visible" name="SUMIFS" sheetId="6" r:id="rId9"/>
    <sheet state="visible" name="Countif" sheetId="7" r:id="rId10"/>
    <sheet state="visible" name="COUNTIFS" sheetId="8" r:id="rId11"/>
  </sheets>
  <definedNames/>
  <calcPr/>
  <extLst>
    <ext uri="GoogleSheetsCustomDataVersion2">
      <go:sheetsCustomData xmlns:go="http://customooxmlschemas.google.com/" r:id="rId12" roundtripDataChecksum="uFr5ssVpusLv3r47dfhR1vXLWXnPHHuLXeBk15lFOsQ="/>
    </ext>
  </extLst>
</workbook>
</file>

<file path=xl/sharedStrings.xml><?xml version="1.0" encoding="utf-8"?>
<sst xmlns="http://schemas.openxmlformats.org/spreadsheetml/2006/main" count="1179" uniqueCount="137">
  <si>
    <t>Function</t>
  </si>
  <si>
    <t>Description</t>
  </si>
  <si>
    <t>Formula Example</t>
  </si>
  <si>
    <t>Formula Description</t>
  </si>
  <si>
    <t>AND</t>
  </si>
  <si>
    <t>Returns TRUE if all of the arguments evaluate to TRUE.</t>
  </si>
  <si>
    <t>The formula returns TRUE if a value in cell A2 is greater than or equal to 10, and a value in B2 is less than 5, FALSE otherwise.</t>
  </si>
  <si>
    <t>OR</t>
  </si>
  <si>
    <t>Returns TRUE if any argument evaluates to TRUE.</t>
  </si>
  <si>
    <t>The formula returns TRUE if A2 is greater than or equal to 10 or B2 is less than 5, or both conditions are met. If neither of the conditions it met, the formula returns FALSE.</t>
  </si>
  <si>
    <t>XOR</t>
  </si>
  <si>
    <t>Returns a logical Exclusive Or of all arguments.</t>
  </si>
  <si>
    <t>The formula returns TRUE if either A2 is greater than or equal to 10 or B2 is less than 5. If neither of the conditions is met or both conditions are met, the formula returns FALSE.</t>
  </si>
  <si>
    <t>NOT</t>
  </si>
  <si>
    <t>Returns the reversed logical value of its argument. I.e. If the argument is FALSE, then TRUE is returned and vice versa.</t>
  </si>
  <si>
    <t>The formula returns FALSE if a value in cell A1 is greater than or equal to 10; TRUE otherwise.</t>
  </si>
  <si>
    <t>Product</t>
  </si>
  <si>
    <t>In stock</t>
  </si>
  <si>
    <t>sold</t>
  </si>
  <si>
    <t>Banana</t>
  </si>
  <si>
    <t>Apple</t>
  </si>
  <si>
    <t>Orange</t>
  </si>
  <si>
    <t>Pinapple</t>
  </si>
  <si>
    <t>If Functions</t>
  </si>
  <si>
    <t>Value</t>
  </si>
  <si>
    <t>// returns TRUE</t>
  </si>
  <si>
    <t>// returns "OK"</t>
  </si>
  <si>
    <t>// returns FALSE</t>
  </si>
  <si>
    <t xml:space="preserve">// returns 10 </t>
  </si>
  <si>
    <t>// returns 0</t>
  </si>
  <si>
    <t>// returns "Yes" '</t>
  </si>
  <si>
    <t>// returns "No"</t>
  </si>
  <si>
    <t> SUMIF Function</t>
  </si>
  <si>
    <t>Use the SUMIF function to sum up a range of numbers that meet certain criteria. SUMIF basically combines the SUM and IF functions together. The syntax for it is:</t>
  </si>
  <si>
    <t xml:space="preserve"> =SUMIF([sum_range], criteria, [criteria_range])</t>
  </si>
  <si>
    <r>
      <rPr>
        <rFont val="Arial"/>
        <color rgb="FF333333"/>
        <sz val="11.0"/>
      </rPr>
      <t>Where </t>
    </r>
    <r>
      <rPr>
        <rFont val="Arial"/>
        <b/>
        <color rgb="FF333333"/>
        <sz val="11.0"/>
      </rPr>
      <t>sum_range</t>
    </r>
    <r>
      <rPr>
        <rFont val="Arial"/>
        <color rgb="FF333333"/>
        <sz val="11.0"/>
      </rPr>
      <t> is the range of cells you want to sum, </t>
    </r>
    <r>
      <rPr>
        <rFont val="Arial"/>
        <b/>
        <color rgb="FF333333"/>
        <sz val="11.0"/>
      </rPr>
      <t>criteria</t>
    </r>
    <r>
      <rPr>
        <rFont val="Arial"/>
        <color rgb="FF333333"/>
        <sz val="11.0"/>
      </rPr>
      <t> is the condition you want to use to filter the values, and </t>
    </r>
    <r>
      <rPr>
        <rFont val="Arial"/>
        <b/>
        <color rgb="FF333333"/>
        <sz val="11.0"/>
      </rPr>
      <t>criteria_range</t>
    </r>
    <r>
      <rPr>
        <rFont val="Arial"/>
        <color rgb="FF333333"/>
        <sz val="11.0"/>
      </rPr>
      <t> is the range where the function should look for the condition</t>
    </r>
  </si>
  <si>
    <t>STOCKS</t>
  </si>
  <si>
    <t>BONDS</t>
  </si>
  <si>
    <t>CASH</t>
  </si>
  <si>
    <t>EARNED</t>
  </si>
  <si>
    <t>RESULT</t>
  </si>
  <si>
    <t>Harry Potter</t>
  </si>
  <si>
    <t>Captain America</t>
  </si>
  <si>
    <t>Robin</t>
  </si>
  <si>
    <t>Captain Marvel</t>
  </si>
  <si>
    <t>Picollo</t>
  </si>
  <si>
    <t>Batman</t>
  </si>
  <si>
    <t>The Rocketeer</t>
  </si>
  <si>
    <t>Superman</t>
  </si>
  <si>
    <t>Batwoman</t>
  </si>
  <si>
    <t>Hawkeye</t>
  </si>
  <si>
    <t>The Incredibles</t>
  </si>
  <si>
    <t>Goku</t>
  </si>
  <si>
    <t>Rocky Balboa</t>
  </si>
  <si>
    <t>Obi Wan Kenobi</t>
  </si>
  <si>
    <t>Jack Sparrow</t>
  </si>
  <si>
    <t>Supergirl</t>
  </si>
  <si>
    <t>Han Solo</t>
  </si>
  <si>
    <t>Guardians of the Galaxy</t>
  </si>
  <si>
    <t>Neo</t>
  </si>
  <si>
    <t>Thor</t>
  </si>
  <si>
    <t>James Bond</t>
  </si>
  <si>
    <t>The Defenders</t>
  </si>
  <si>
    <t>Gandalf</t>
  </si>
  <si>
    <t>Spider-Man</t>
  </si>
  <si>
    <t>Sasuke Uchiha</t>
  </si>
  <si>
    <t>Marvelman</t>
  </si>
  <si>
    <t>Green Arrow</t>
  </si>
  <si>
    <t>Hermione Granger</t>
  </si>
  <si>
    <t>Flash</t>
  </si>
  <si>
    <t>Aquaman</t>
  </si>
  <si>
    <t>SUMIFS</t>
  </si>
  <si>
    <t>The SUMIFS function is similar to the SUMIF function. But where SUMIF only takes in a single criterion, SUMIFS can take in multiple criteria.</t>
  </si>
  <si>
    <t>The syntax for the SUMIFS function is:</t>
  </si>
  <si>
    <t>=SUMIFS([sum_range], criteria1, [range1], criteria2, [range2], ...)</t>
  </si>
  <si>
    <r>
      <rPr>
        <rFont val="Arial"/>
        <color rgb="FF333333"/>
        <sz val="14.0"/>
      </rPr>
      <t>Where </t>
    </r>
    <r>
      <rPr>
        <rFont val="Arial"/>
        <b/>
        <color rgb="FF333333"/>
        <sz val="14.0"/>
      </rPr>
      <t>sum_range</t>
    </r>
    <r>
      <rPr>
        <rFont val="Arial"/>
        <color rgb="FF333333"/>
        <sz val="14.0"/>
      </rPr>
      <t> is the range of cells you want to sum, </t>
    </r>
    <r>
      <rPr>
        <rFont val="Arial"/>
        <b/>
        <color rgb="FF333333"/>
        <sz val="14.0"/>
      </rPr>
      <t>criteria1</t>
    </r>
    <r>
      <rPr>
        <rFont val="Arial"/>
        <color rgb="FF333333"/>
        <sz val="14.0"/>
      </rPr>
      <t> is the first condition you wish to use to filter the values, </t>
    </r>
    <r>
      <rPr>
        <rFont val="Arial"/>
        <b/>
        <color rgb="FF333333"/>
        <sz val="14.0"/>
      </rPr>
      <t>range1</t>
    </r>
    <r>
      <rPr>
        <rFont val="Arial"/>
        <color rgb="FF333333"/>
        <sz val="14.0"/>
      </rPr>
      <t> is the value you want to use to filter the values for </t>
    </r>
    <r>
      <rPr>
        <rFont val="Arial"/>
        <b/>
        <color rgb="FF333333"/>
        <sz val="14.0"/>
      </rPr>
      <t>criteria1</t>
    </r>
    <r>
      <rPr>
        <rFont val="Arial"/>
        <color rgb="FF333333"/>
        <sz val="14.0"/>
      </rPr>
      <t>, and so forth.</t>
    </r>
  </si>
  <si>
    <t>SUM / AVERAGE by Criteria (SUMIFS, AVERAGEIFS)</t>
  </si>
  <si>
    <t>Division</t>
  </si>
  <si>
    <t>Region</t>
  </si>
  <si>
    <t>App</t>
  </si>
  <si>
    <t>Actual Sales</t>
  </si>
  <si>
    <t>Total Sales for the App specified below</t>
  </si>
  <si>
    <t>Game</t>
  </si>
  <si>
    <t>Asia</t>
  </si>
  <si>
    <t>Arcade</t>
  </si>
  <si>
    <t>Perino</t>
  </si>
  <si>
    <t>Aviatrr</t>
  </si>
  <si>
    <t>Baden</t>
  </si>
  <si>
    <t>deRamblr</t>
  </si>
  <si>
    <t>Fightrr</t>
  </si>
  <si>
    <t>Total Sales for the Division &amp; Region Specified Below</t>
  </si>
  <si>
    <t>Twistrr</t>
  </si>
  <si>
    <t>Australia</t>
  </si>
  <si>
    <t>Average Sales for the Division &amp; Region Specified Below And Exclude zero values</t>
  </si>
  <si>
    <t>Five Labs</t>
  </si>
  <si>
    <t>Productivity</t>
  </si>
  <si>
    <t>Hackrr</t>
  </si>
  <si>
    <t>Europe</t>
  </si>
  <si>
    <t>Jellyfish</t>
  </si>
  <si>
    <t>Kryptis</t>
  </si>
  <si>
    <t>Pes</t>
  </si>
  <si>
    <t>North America</t>
  </si>
  <si>
    <t>South America</t>
  </si>
  <si>
    <t>Blend</t>
  </si>
  <si>
    <t>Dasring</t>
  </si>
  <si>
    <t>Didactic</t>
  </si>
  <si>
    <t>Flowrrr</t>
  </si>
  <si>
    <t>Halotot</t>
  </si>
  <si>
    <t>Inkly</t>
  </si>
  <si>
    <t>Kind Ape</t>
  </si>
  <si>
    <t>Mirrrr</t>
  </si>
  <si>
    <t>Pet Feed</t>
  </si>
  <si>
    <t>Rehire</t>
  </si>
  <si>
    <t>Right App</t>
  </si>
  <si>
    <t>Silvrr</t>
  </si>
  <si>
    <t>Sleops</t>
  </si>
  <si>
    <t>Voltage</t>
  </si>
  <si>
    <t>WenCaL</t>
  </si>
  <si>
    <t>Utility</t>
  </si>
  <si>
    <t>Accord</t>
  </si>
  <si>
    <t>Amplefio</t>
  </si>
  <si>
    <t>Atmos</t>
  </si>
  <si>
    <t>Commuta</t>
  </si>
  <si>
    <t>Infic</t>
  </si>
  <si>
    <t>Minor Liar</t>
  </si>
  <si>
    <t>Misty Wash</t>
  </si>
  <si>
    <t>Mosquit</t>
  </si>
  <si>
    <t>Motocyco</t>
  </si>
  <si>
    <t>Scrap</t>
  </si>
  <si>
    <t>Strex</t>
  </si>
  <si>
    <t>Tanox</t>
  </si>
  <si>
    <t>Twenty20</t>
  </si>
  <si>
    <t>Number of Stocks</t>
  </si>
  <si>
    <t>Number of Cash</t>
  </si>
  <si>
    <t>Number of Bonds</t>
  </si>
  <si>
    <t>How many apps belongs to Game division and Asia Region?</t>
  </si>
  <si>
    <t>How many apps belongs to Productivity division and Asia Region?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</si>
</sst>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_);[Red]\(&quot;$&quot;#,##0\)"/>
  </numFmts>
  <fonts count="22">
    <font>
      <sz val="11.0"/>
      <color theme="1"/>
      <name val="Calibri"/>
      <scheme val="minor"/>
    </font>
    <font>
      <sz val="11.0"/>
      <color rgb="FF000000"/>
      <name val="Arial"/>
    </font>
    <font>
      <b/>
      <sz val="11.0"/>
      <color rgb="FF000000"/>
      <name val="Arial"/>
    </font>
    <font>
      <sz val="10.0"/>
      <color rgb="FF454545"/>
      <name val="Courier New"/>
    </font>
    <font>
      <sz val="11.0"/>
      <color theme="1"/>
      <name val="Calibri"/>
    </font>
    <font>
      <color theme="1"/>
      <name val="Calibri"/>
      <scheme val="minor"/>
    </font>
    <font>
      <b/>
      <sz val="11.0"/>
      <color theme="1"/>
      <name val="Calibri"/>
    </font>
    <font>
      <sz val="8.0"/>
      <color rgb="FFFBDE2D"/>
      <name val="Courier New"/>
    </font>
    <font>
      <b/>
      <sz val="18.0"/>
      <color rgb="FF333333"/>
      <name val="Arial"/>
    </font>
    <font>
      <sz val="11.0"/>
      <color rgb="FF333333"/>
      <name val="Arial"/>
    </font>
    <font>
      <sz val="14.0"/>
      <color theme="1"/>
      <name val="Calibri"/>
    </font>
    <font>
      <sz val="11.0"/>
      <color theme="1"/>
      <name val="Inconsolata"/>
    </font>
    <font>
      <sz val="12.0"/>
      <color theme="1"/>
      <name val="Calibri"/>
    </font>
    <font>
      <b/>
      <sz val="14.0"/>
      <color rgb="FFFFFFFF"/>
      <name val="Calibri"/>
    </font>
    <font>
      <b/>
      <sz val="14.0"/>
      <color rgb="FF444444"/>
      <name val="Courier New"/>
    </font>
    <font>
      <sz val="14.0"/>
      <color rgb="FF333333"/>
      <name val="Arial"/>
    </font>
    <font/>
    <font>
      <b/>
      <sz val="12.0"/>
      <color theme="1"/>
      <name val="Calibri"/>
    </font>
    <font>
      <sz val="10.0"/>
      <color theme="1"/>
      <name val="Arial"/>
    </font>
    <font>
      <b/>
      <sz val="14.0"/>
      <color theme="1"/>
      <name val="Calibri"/>
    </font>
    <font>
      <sz val="10.0"/>
      <color theme="1"/>
      <name val="Calibri"/>
    </font>
    <font>
      <sz val="14.0"/>
      <color theme="1"/>
      <name val="Arial"/>
    </font>
  </fonts>
  <fills count="9">
    <fill>
      <patternFill patternType="none"/>
    </fill>
    <fill>
      <patternFill patternType="lightGray"/>
    </fill>
    <fill>
      <patternFill patternType="solid">
        <fgColor rgb="FFF6F6F6"/>
        <bgColor rgb="FFF6F6F6"/>
      </patternFill>
    </fill>
    <fill>
      <patternFill patternType="solid">
        <fgColor rgb="FFFFFFFF"/>
        <bgColor rgb="FFFFFFFF"/>
      </patternFill>
    </fill>
    <fill>
      <patternFill patternType="solid">
        <fgColor rgb="FF000000"/>
        <bgColor rgb="FF000000"/>
      </patternFill>
    </fill>
    <fill>
      <patternFill patternType="solid">
        <fgColor rgb="FFDEEAF6"/>
        <bgColor rgb="FFDEEAF6"/>
      </patternFill>
    </fill>
    <fill>
      <patternFill patternType="solid">
        <fgColor rgb="FFFDFCED"/>
        <bgColor rgb="FFFDFCED"/>
      </patternFill>
    </fill>
    <fill>
      <patternFill patternType="solid">
        <fgColor rgb="FFF2F8EE"/>
        <bgColor rgb="FFF2F8EE"/>
      </patternFill>
    </fill>
    <fill>
      <patternFill patternType="solid">
        <fgColor rgb="FFFFFF00"/>
        <bgColor rgb="FFFFFF00"/>
      </patternFill>
    </fill>
  </fills>
  <borders count="11">
    <border/>
    <border>
      <left style="thin">
        <color rgb="FF000000"/>
      </left>
      <right style="thin">
        <color rgb="FF000000"/>
      </right>
      <top style="thin">
        <color rgb="FF000000"/>
      </top>
      <bottom style="thin">
        <color rgb="FF000000"/>
      </bottom>
    </border>
    <border>
      <left style="medium">
        <color rgb="FF000000"/>
      </left>
      <right style="medium">
        <color rgb="FF000000"/>
      </right>
      <top style="medium">
        <color rgb="FF000000"/>
      </top>
      <bottom style="medium">
        <color rgb="FF000000"/>
      </bottom>
    </border>
    <border>
      <left style="medium">
        <color rgb="FFCCCCCC"/>
      </left>
      <right style="medium">
        <color rgb="FFCCCCCC"/>
      </right>
      <top style="medium">
        <color rgb="FFCCCCCC"/>
      </top>
      <bottom style="medium">
        <color rgb="FF000000"/>
      </bottom>
    </border>
    <border>
      <left style="medium">
        <color rgb="FFCCCCCC"/>
      </left>
      <right style="medium">
        <color rgb="FFCCCCCC"/>
      </right>
      <top style="medium">
        <color rgb="FFCCCCCC"/>
      </top>
      <bottom style="medium">
        <color rgb="FFCCCCCC"/>
      </bottom>
    </border>
    <border>
      <left style="medium">
        <color rgb="FF000000"/>
      </left>
      <right style="medium">
        <color rgb="FF000000"/>
      </right>
      <top style="medium">
        <color rgb="FFCCCCCC"/>
      </top>
      <bottom style="medium">
        <color rgb="FF000000"/>
      </bottom>
    </border>
    <border>
      <left style="medium">
        <color rgb="FFCCCCCC"/>
      </left>
      <right style="medium">
        <color rgb="FF000000"/>
      </right>
      <top style="medium">
        <color rgb="FFCCCCCC"/>
      </top>
      <bottom style="medium">
        <color rgb="FF000000"/>
      </bottom>
    </border>
    <border>
      <left style="medium">
        <color rgb="FFD3D3D3"/>
      </left>
      <right style="medium">
        <color rgb="FFD3D3D3"/>
      </right>
      <top style="medium">
        <color rgb="FFD3D3D3"/>
      </top>
      <bottom style="medium">
        <color rgb="FFD3D3D3"/>
      </bottom>
    </border>
    <border>
      <bottom style="medium">
        <color rgb="FFCCCCCC"/>
      </bottom>
    </border>
    <border>
      <left style="medium">
        <color rgb="FFCCCCCC"/>
      </left>
      <right style="medium">
        <color rgb="FFCCCCCC"/>
      </right>
      <top style="medium">
        <color rgb="FFCCCCCC"/>
      </top>
      <bottom style="medium">
        <color rgb="FF2981B9"/>
      </bottom>
    </border>
    <border>
      <left/>
      <right/>
      <top/>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2" numFmtId="0" xfId="0" applyAlignment="1" applyBorder="1" applyFill="1" applyFont="1">
      <alignment horizontal="center" shrinkToFit="0" vertical="center" wrapText="1"/>
    </xf>
    <xf borderId="1" fillId="3" fontId="1" numFmtId="0" xfId="0" applyAlignment="1" applyBorder="1" applyFont="1">
      <alignment shrinkToFit="0" vertical="center" wrapText="1"/>
    </xf>
    <xf borderId="1" fillId="3" fontId="3" numFmtId="0" xfId="0" applyAlignment="1" applyBorder="1" applyFont="1">
      <alignment shrinkToFit="0" vertical="center" wrapText="1"/>
    </xf>
    <xf borderId="0" fillId="0" fontId="4" numFmtId="0" xfId="0" applyAlignment="1" applyFont="1">
      <alignment horizontal="center"/>
    </xf>
    <xf borderId="0" fillId="0" fontId="5" numFmtId="0" xfId="0" applyFont="1"/>
    <xf borderId="0" fillId="0" fontId="6" numFmtId="0" xfId="0" applyFont="1"/>
    <xf borderId="0" fillId="0" fontId="6" numFmtId="0" xfId="0" applyAlignment="1" applyFont="1">
      <alignment horizontal="center" vertical="center"/>
    </xf>
    <xf borderId="0" fillId="0" fontId="7" numFmtId="0" xfId="0" applyFont="1"/>
    <xf borderId="0" fillId="0" fontId="4" numFmtId="0" xfId="0" applyAlignment="1" applyFont="1">
      <alignment horizontal="center" vertical="center"/>
    </xf>
    <xf borderId="0" fillId="0" fontId="8" numFmtId="0" xfId="0" applyAlignment="1" applyFont="1">
      <alignment horizontal="left" shrinkToFit="0" vertical="center" wrapText="1"/>
    </xf>
    <xf borderId="0" fillId="0" fontId="4" numFmtId="0" xfId="0" applyAlignment="1" applyFont="1">
      <alignment horizontal="left" shrinkToFit="0" vertical="center" wrapText="1"/>
    </xf>
    <xf borderId="0" fillId="0" fontId="6" numFmtId="0" xfId="0" applyAlignment="1" applyFont="1">
      <alignment vertical="center"/>
    </xf>
    <xf borderId="0" fillId="0" fontId="9" numFmtId="0" xfId="0" applyAlignment="1" applyFont="1">
      <alignment horizontal="left" shrinkToFit="0" vertical="center" wrapText="1"/>
    </xf>
    <xf borderId="0" fillId="0" fontId="9" numFmtId="0" xfId="0" applyAlignment="1" applyFont="1">
      <alignment shrinkToFit="0" vertical="center" wrapText="1"/>
    </xf>
    <xf borderId="2" fillId="0" fontId="10" numFmtId="0" xfId="0" applyAlignment="1" applyBorder="1" applyFont="1">
      <alignment shrinkToFit="0" wrapText="1"/>
    </xf>
    <xf borderId="3" fillId="3" fontId="11" numFmtId="164" xfId="0" applyAlignment="1" applyBorder="1" applyFont="1" applyNumberFormat="1">
      <alignment horizontal="right" shrinkToFit="0" wrapText="1"/>
    </xf>
    <xf borderId="4" fillId="0" fontId="12" numFmtId="0" xfId="0" applyAlignment="1" applyBorder="1" applyFont="1">
      <alignment shrinkToFit="0" wrapText="1"/>
    </xf>
    <xf borderId="5" fillId="0" fontId="10" numFmtId="0" xfId="0" applyAlignment="1" applyBorder="1" applyFont="1">
      <alignment shrinkToFit="0" wrapText="1"/>
    </xf>
    <xf borderId="3" fillId="0" fontId="12" numFmtId="0" xfId="0" applyAlignment="1" applyBorder="1" applyFont="1">
      <alignment shrinkToFit="0" wrapText="1"/>
    </xf>
    <xf borderId="5" fillId="4" fontId="12" numFmtId="0" xfId="0" applyAlignment="1" applyBorder="1" applyFill="1" applyFont="1">
      <alignment shrinkToFit="0" wrapText="1"/>
    </xf>
    <xf borderId="6" fillId="4" fontId="13" numFmtId="0" xfId="0" applyAlignment="1" applyBorder="1" applyFont="1">
      <alignment horizontal="center" shrinkToFit="0" wrapText="1"/>
    </xf>
    <xf borderId="6" fillId="0" fontId="10" numFmtId="164" xfId="0" applyAlignment="1" applyBorder="1" applyFont="1" applyNumberFormat="1">
      <alignment horizontal="center" shrinkToFit="0" wrapText="1"/>
    </xf>
    <xf borderId="6" fillId="5" fontId="10" numFmtId="0" xfId="0" applyAlignment="1" applyBorder="1" applyFill="1" applyFont="1">
      <alignment horizontal="center" shrinkToFit="0" wrapText="1"/>
    </xf>
    <xf borderId="0" fillId="0" fontId="8" numFmtId="0" xfId="0" applyAlignment="1" applyFont="1">
      <alignment horizontal="center" shrinkToFit="0" vertical="center" wrapText="1"/>
    </xf>
    <xf borderId="0" fillId="0" fontId="10" numFmtId="0" xfId="0" applyAlignment="1" applyFont="1">
      <alignment horizontal="left" shrinkToFit="0" vertical="center" wrapText="1"/>
    </xf>
    <xf borderId="0" fillId="0" fontId="6" numFmtId="0" xfId="0" applyAlignment="1" applyFont="1">
      <alignment horizontal="left" shrinkToFit="0" vertical="center" wrapText="1"/>
    </xf>
    <xf borderId="7" fillId="0" fontId="14" numFmtId="0" xfId="0" applyAlignment="1" applyBorder="1" applyFont="1">
      <alignment vertical="center"/>
    </xf>
    <xf borderId="8" fillId="0" fontId="15" numFmtId="0" xfId="0" applyAlignment="1" applyBorder="1" applyFont="1">
      <alignment horizontal="left" shrinkToFit="0" wrapText="1"/>
    </xf>
    <xf borderId="8" fillId="0" fontId="16" numFmtId="0" xfId="0" applyBorder="1" applyFont="1"/>
    <xf borderId="3" fillId="0" fontId="17" numFmtId="0" xfId="0" applyAlignment="1" applyBorder="1" applyFont="1">
      <alignment vertical="center"/>
    </xf>
    <xf borderId="3" fillId="0" fontId="18" numFmtId="0" xfId="0" applyAlignment="1" applyBorder="1" applyFont="1">
      <alignment shrinkToFit="0" wrapText="1"/>
    </xf>
    <xf borderId="4" fillId="0" fontId="18" numFmtId="0" xfId="0" applyAlignment="1" applyBorder="1" applyFont="1">
      <alignment shrinkToFit="0" wrapText="1"/>
    </xf>
    <xf borderId="9" fillId="0" fontId="17" numFmtId="0" xfId="0" applyAlignment="1" applyBorder="1" applyFont="1">
      <alignment shrinkToFit="0" wrapText="1"/>
    </xf>
    <xf borderId="9" fillId="0" fontId="6" numFmtId="0" xfId="0" applyAlignment="1" applyBorder="1" applyFont="1">
      <alignment shrinkToFit="0" wrapText="1"/>
    </xf>
    <xf borderId="9" fillId="0" fontId="6" numFmtId="0" xfId="0" applyAlignment="1" applyBorder="1" applyFont="1">
      <alignment vertical="center"/>
    </xf>
    <xf borderId="4" fillId="0" fontId="19" numFmtId="0" xfId="0" applyAlignment="1" applyBorder="1" applyFont="1">
      <alignment vertical="center"/>
    </xf>
    <xf borderId="4" fillId="0" fontId="20" numFmtId="0" xfId="0" applyAlignment="1" applyBorder="1" applyFont="1">
      <alignment shrinkToFit="0" wrapText="1"/>
    </xf>
    <xf borderId="4" fillId="0" fontId="4" numFmtId="0" xfId="0" applyAlignment="1" applyBorder="1" applyFont="1">
      <alignment shrinkToFit="0" wrapText="1"/>
    </xf>
    <xf borderId="4" fillId="0" fontId="4" numFmtId="3" xfId="0" applyAlignment="1" applyBorder="1" applyFont="1" applyNumberFormat="1">
      <alignment horizontal="right" shrinkToFit="0" wrapText="1"/>
    </xf>
    <xf borderId="4" fillId="6" fontId="10" numFmtId="0" xfId="0" applyAlignment="1" applyBorder="1" applyFill="1" applyFont="1">
      <alignment shrinkToFit="0" wrapText="1"/>
    </xf>
    <xf borderId="4" fillId="7" fontId="21" numFmtId="0" xfId="0" applyAlignment="1" applyBorder="1" applyFill="1" applyFont="1">
      <alignment shrinkToFit="0" wrapText="1"/>
    </xf>
    <xf borderId="4" fillId="0" fontId="21" numFmtId="0" xfId="0" applyAlignment="1" applyBorder="1" applyFont="1">
      <alignment shrinkToFit="0" wrapText="1"/>
    </xf>
    <xf borderId="4" fillId="0" fontId="10" numFmtId="0" xfId="0" applyAlignment="1" applyBorder="1" applyFont="1">
      <alignment horizontal="left" shrinkToFit="0" wrapText="1"/>
    </xf>
    <xf borderId="4" fillId="6" fontId="4" numFmtId="0" xfId="0" applyAlignment="1" applyBorder="1" applyFont="1">
      <alignment shrinkToFit="0" wrapText="1"/>
    </xf>
    <xf borderId="4" fillId="0" fontId="4" numFmtId="0" xfId="0" applyAlignment="1" applyBorder="1" applyFont="1">
      <alignment horizontal="right" shrinkToFit="0" wrapText="1"/>
    </xf>
    <xf borderId="4" fillId="0" fontId="10" numFmtId="0" xfId="0" applyAlignment="1" applyBorder="1" applyFont="1">
      <alignment horizontal="left" shrinkToFit="0" vertical="top" wrapText="1"/>
    </xf>
    <xf borderId="4" fillId="0" fontId="20" numFmtId="0" xfId="0" applyAlignment="1" applyBorder="1" applyFont="1">
      <alignment horizontal="right" shrinkToFit="0" wrapText="1"/>
    </xf>
    <xf borderId="10" fillId="8" fontId="4" numFmtId="0" xfId="0" applyBorder="1" applyFill="1" applyFont="1"/>
    <xf borderId="0" fillId="0" fontId="4" numFmtId="0" xfId="0" applyAlignment="1" applyFont="1">
      <alignment shrinkToFit="0" wrapText="1"/>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9E2F3"/>
          <bgColor rgb="FFD9E2F3"/>
        </patternFill>
      </fill>
      <border/>
    </dxf>
    <dxf>
      <font/>
      <fill>
        <patternFill patternType="solid">
          <fgColor rgb="FFB4C6E7"/>
          <bgColor rgb="FFB4C6E7"/>
        </patternFill>
      </fill>
      <border/>
    </dxf>
  </dxfs>
  <tableStyles count="1">
    <tableStyle count="3" pivot="0" name="If statement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F6:F7" displayName="Table_1" name="Table_1" id="1">
  <tableColumns count="1">
    <tableColumn name="Value" id="1"/>
  </tableColumns>
  <tableStyleInfo name="If statement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30.57"/>
    <col customWidth="1" min="3" max="3" width="17.71"/>
    <col customWidth="1" min="4" max="4" width="30.29"/>
    <col customWidth="1" min="5" max="26" width="8.71"/>
  </cols>
  <sheetData>
    <row r="1" ht="30.0" customHeight="1">
      <c r="A1" s="1" t="s">
        <v>0</v>
      </c>
      <c r="B1" s="1" t="s">
        <v>1</v>
      </c>
      <c r="C1" s="1" t="s">
        <v>2</v>
      </c>
      <c r="D1" s="1" t="s">
        <v>3</v>
      </c>
    </row>
    <row r="2" ht="69.75" customHeight="1">
      <c r="A2" s="2" t="s">
        <v>4</v>
      </c>
      <c r="B2" s="3" t="s">
        <v>5</v>
      </c>
      <c r="C2" s="4" t="b">
        <f>AND(A2&gt;=10, B2&lt;5)</f>
        <v>0</v>
      </c>
      <c r="D2" s="3" t="s">
        <v>6</v>
      </c>
    </row>
    <row r="3" ht="30.0" customHeight="1">
      <c r="A3" s="2" t="s">
        <v>7</v>
      </c>
      <c r="B3" s="3" t="s">
        <v>8</v>
      </c>
      <c r="C3" s="4" t="b">
        <f>OR(A2&gt;=10, B2&lt;5)</f>
        <v>1</v>
      </c>
      <c r="D3" s="3" t="s">
        <v>9</v>
      </c>
    </row>
    <row r="4" ht="30.0" customHeight="1">
      <c r="A4" s="2" t="s">
        <v>10</v>
      </c>
      <c r="B4" s="3" t="s">
        <v>11</v>
      </c>
      <c r="C4" s="4" t="b">
        <f>XOR(A2&gt;=10, B2&lt;5)</f>
        <v>1</v>
      </c>
      <c r="D4" s="3" t="s">
        <v>12</v>
      </c>
    </row>
    <row r="5" ht="30.0" customHeight="1">
      <c r="A5" s="2" t="s">
        <v>13</v>
      </c>
      <c r="B5" s="3" t="s">
        <v>14</v>
      </c>
      <c r="C5" s="4" t="b">
        <f>NOT(A2&gt;=10)</f>
        <v>0</v>
      </c>
      <c r="D5" s="3" t="s">
        <v>15</v>
      </c>
    </row>
    <row r="6" ht="30.0" customHeight="1">
      <c r="A6" s="5"/>
    </row>
    <row r="7" ht="30.0" customHeight="1">
      <c r="A7" s="5"/>
    </row>
    <row r="8" ht="30.0" customHeight="1">
      <c r="A8" s="5"/>
    </row>
    <row r="9" ht="30.0" customHeight="1">
      <c r="A9" s="5"/>
    </row>
    <row r="10" ht="30.0" customHeight="1">
      <c r="A10" s="5"/>
    </row>
    <row r="11" ht="30.0" customHeight="1">
      <c r="A11" s="5"/>
    </row>
    <row r="12" ht="30.0" customHeight="1">
      <c r="A12" s="5"/>
    </row>
    <row r="13" ht="30.0" customHeight="1">
      <c r="A13" s="5"/>
    </row>
    <row r="14" ht="30.0" customHeight="1">
      <c r="A14" s="5"/>
    </row>
    <row r="15" ht="30.0" customHeight="1">
      <c r="A15" s="5"/>
    </row>
    <row r="16" ht="30.0" customHeight="1">
      <c r="A16" s="5"/>
    </row>
    <row r="17" ht="30.0" customHeight="1">
      <c r="A17" s="5"/>
    </row>
    <row r="18" ht="30.0" customHeight="1">
      <c r="A18" s="5"/>
    </row>
    <row r="19" ht="30.0" customHeight="1">
      <c r="A19" s="5"/>
    </row>
    <row r="20" ht="30.0" customHeight="1">
      <c r="A20" s="5"/>
    </row>
    <row r="21" ht="30.0" customHeight="1">
      <c r="A21" s="5"/>
    </row>
    <row r="22" ht="30.0" customHeight="1">
      <c r="A22" s="5"/>
    </row>
    <row r="23" ht="30.0" customHeight="1">
      <c r="A23" s="5"/>
    </row>
    <row r="24" ht="30.0" customHeight="1">
      <c r="A24" s="5"/>
    </row>
    <row r="25" ht="30.0" customHeight="1">
      <c r="A25" s="5"/>
    </row>
    <row r="26" ht="30.0" customHeight="1">
      <c r="A26" s="5"/>
    </row>
    <row r="27" ht="30.0" customHeight="1">
      <c r="A27" s="5"/>
    </row>
    <row r="28" ht="30.0" customHeight="1">
      <c r="A28" s="5"/>
    </row>
    <row r="29" ht="30.0" customHeight="1">
      <c r="A29" s="5"/>
    </row>
    <row r="30" ht="30.0" customHeight="1">
      <c r="A30" s="5"/>
    </row>
    <row r="31" ht="30.0" customHeight="1">
      <c r="A31" s="5"/>
    </row>
    <row r="32" ht="30.0" customHeight="1">
      <c r="A32" s="5"/>
    </row>
    <row r="33" ht="30.0" customHeight="1">
      <c r="A33" s="5"/>
    </row>
    <row r="34" ht="30.0" customHeight="1">
      <c r="A34" s="5"/>
    </row>
    <row r="35" ht="30.0" customHeight="1">
      <c r="A35" s="5"/>
    </row>
    <row r="36" ht="30.0" customHeight="1">
      <c r="A36" s="5"/>
    </row>
    <row r="37" ht="30.0" customHeight="1">
      <c r="A37" s="5"/>
    </row>
    <row r="38" ht="30.0" customHeight="1">
      <c r="A38" s="5"/>
    </row>
    <row r="39" ht="30.0" customHeight="1">
      <c r="A39" s="5"/>
    </row>
    <row r="40" ht="30.0" customHeight="1">
      <c r="A40" s="5"/>
    </row>
    <row r="41" ht="30.0" customHeight="1">
      <c r="A41" s="5"/>
    </row>
    <row r="42" ht="30.0" customHeight="1">
      <c r="A42" s="5"/>
    </row>
    <row r="43" ht="30.0" customHeight="1">
      <c r="A43" s="5"/>
    </row>
    <row r="44" ht="30.0" customHeight="1">
      <c r="A44" s="5"/>
    </row>
    <row r="45" ht="30.0" customHeight="1">
      <c r="A45" s="5"/>
    </row>
    <row r="46" ht="30.0" customHeight="1">
      <c r="A46" s="5"/>
    </row>
    <row r="47" ht="30.0" customHeight="1">
      <c r="A47" s="5"/>
    </row>
    <row r="48" ht="30.0" customHeight="1">
      <c r="A48" s="5"/>
    </row>
    <row r="49" ht="30.0" customHeight="1">
      <c r="A49" s="5"/>
    </row>
    <row r="50" ht="30.0" customHeight="1">
      <c r="A50" s="5"/>
    </row>
    <row r="51" ht="30.0" customHeight="1">
      <c r="A51" s="5"/>
    </row>
    <row r="52" ht="30.0" customHeight="1">
      <c r="A52" s="5"/>
    </row>
    <row r="53" ht="30.0" customHeight="1">
      <c r="A53" s="5"/>
    </row>
    <row r="54" ht="30.0" customHeight="1">
      <c r="A54" s="5"/>
    </row>
    <row r="55" ht="30.0" customHeight="1">
      <c r="A55" s="5"/>
    </row>
    <row r="56" ht="30.0" customHeight="1">
      <c r="A56" s="5"/>
    </row>
    <row r="57" ht="30.0" customHeight="1">
      <c r="A57" s="5"/>
    </row>
    <row r="58" ht="30.0" customHeight="1">
      <c r="A58" s="5"/>
    </row>
    <row r="59" ht="30.0" customHeight="1">
      <c r="A59" s="5"/>
    </row>
    <row r="60" ht="30.0" customHeight="1">
      <c r="A60" s="5"/>
    </row>
    <row r="61" ht="30.0" customHeight="1">
      <c r="A61" s="5"/>
    </row>
    <row r="62" ht="30.0" customHeight="1">
      <c r="A62" s="5"/>
    </row>
    <row r="63" ht="30.0" customHeight="1">
      <c r="A63" s="5"/>
    </row>
    <row r="64" ht="30.0" customHeight="1">
      <c r="A64" s="5"/>
    </row>
    <row r="65" ht="30.0" customHeight="1">
      <c r="A65" s="5"/>
    </row>
    <row r="66" ht="30.0" customHeight="1">
      <c r="A66" s="5"/>
    </row>
    <row r="67" ht="30.0" customHeight="1">
      <c r="A67" s="5"/>
    </row>
    <row r="68" ht="30.0" customHeight="1">
      <c r="A68" s="5"/>
    </row>
    <row r="69" ht="30.0" customHeight="1">
      <c r="A69" s="5"/>
    </row>
    <row r="70" ht="30.0" customHeight="1">
      <c r="A70" s="5"/>
    </row>
    <row r="71" ht="30.0" customHeight="1">
      <c r="A71" s="5"/>
    </row>
    <row r="72" ht="30.0" customHeight="1">
      <c r="A72" s="5"/>
    </row>
    <row r="73" ht="30.0" customHeight="1">
      <c r="A73" s="5"/>
    </row>
    <row r="74" ht="30.0" customHeight="1">
      <c r="A74" s="5"/>
    </row>
    <row r="75" ht="30.0" customHeight="1">
      <c r="A75" s="5"/>
    </row>
    <row r="76" ht="30.0" customHeight="1">
      <c r="A76" s="5"/>
    </row>
    <row r="77" ht="30.0" customHeight="1">
      <c r="A77" s="5"/>
    </row>
    <row r="78" ht="30.0" customHeight="1">
      <c r="A78" s="5"/>
    </row>
    <row r="79" ht="30.0" customHeight="1">
      <c r="A79" s="5"/>
    </row>
    <row r="80" ht="30.0" customHeight="1">
      <c r="A80" s="5"/>
    </row>
    <row r="81" ht="30.0" customHeight="1">
      <c r="A81" s="5"/>
    </row>
    <row r="82" ht="30.0" customHeight="1">
      <c r="A82" s="5"/>
    </row>
    <row r="83" ht="30.0" customHeight="1">
      <c r="A83" s="5"/>
    </row>
    <row r="84" ht="30.0" customHeight="1">
      <c r="A84" s="5"/>
    </row>
    <row r="85" ht="30.0" customHeight="1">
      <c r="A85" s="5"/>
    </row>
    <row r="86" ht="30.0" customHeight="1">
      <c r="A86" s="5"/>
    </row>
    <row r="87" ht="30.0" customHeight="1">
      <c r="A87" s="5"/>
    </row>
    <row r="88" ht="30.0" customHeight="1">
      <c r="A88" s="5"/>
    </row>
    <row r="89" ht="30.0" customHeight="1">
      <c r="A89" s="5"/>
    </row>
    <row r="90" ht="30.0" customHeight="1">
      <c r="A90" s="5"/>
    </row>
    <row r="91" ht="30.0" customHeight="1">
      <c r="A91" s="5"/>
    </row>
    <row r="92" ht="30.0" customHeight="1">
      <c r="A92" s="5"/>
    </row>
    <row r="93" ht="30.0" customHeight="1">
      <c r="A93" s="5"/>
    </row>
    <row r="94" ht="30.0" customHeight="1">
      <c r="A94" s="5"/>
    </row>
    <row r="95" ht="30.0" customHeight="1">
      <c r="A95" s="5"/>
    </row>
    <row r="96" ht="30.0" customHeight="1">
      <c r="A96" s="5"/>
    </row>
    <row r="97" ht="30.0" customHeight="1">
      <c r="A97" s="5"/>
    </row>
    <row r="98" ht="30.0" customHeight="1">
      <c r="A98" s="5"/>
    </row>
    <row r="99" ht="30.0" customHeight="1">
      <c r="A99" s="5"/>
    </row>
    <row r="100" ht="30.0" customHeight="1">
      <c r="A100" s="5"/>
    </row>
    <row r="101" ht="30.0" customHeight="1">
      <c r="A101" s="5"/>
    </row>
    <row r="102" ht="30.0" customHeight="1">
      <c r="A102" s="5"/>
    </row>
    <row r="103" ht="30.0" customHeight="1">
      <c r="A103" s="5"/>
    </row>
    <row r="104" ht="30.0" customHeight="1">
      <c r="A104" s="5"/>
    </row>
    <row r="105" ht="30.0" customHeight="1">
      <c r="A105" s="5"/>
    </row>
    <row r="106" ht="30.0" customHeight="1">
      <c r="A106" s="5"/>
    </row>
    <row r="107" ht="30.0" customHeight="1">
      <c r="A107" s="5"/>
    </row>
    <row r="108" ht="30.0" customHeight="1">
      <c r="A108" s="5"/>
    </row>
    <row r="109" ht="30.0" customHeight="1">
      <c r="A109" s="5"/>
    </row>
    <row r="110" ht="30.0" customHeight="1">
      <c r="A110" s="5"/>
    </row>
    <row r="111" ht="30.0" customHeight="1">
      <c r="A111" s="5"/>
    </row>
    <row r="112" ht="30.0" customHeight="1">
      <c r="A112" s="5"/>
    </row>
    <row r="113" ht="30.0" customHeight="1">
      <c r="A113" s="5"/>
    </row>
    <row r="114" ht="30.0" customHeight="1">
      <c r="A114" s="5"/>
    </row>
    <row r="115" ht="30.0" customHeight="1">
      <c r="A115" s="5"/>
    </row>
    <row r="116" ht="30.0" customHeight="1">
      <c r="A116" s="5"/>
    </row>
    <row r="117" ht="30.0" customHeight="1">
      <c r="A117" s="5"/>
    </row>
    <row r="118" ht="30.0" customHeight="1">
      <c r="A118" s="5"/>
    </row>
    <row r="119" ht="30.0" customHeight="1">
      <c r="A119" s="5"/>
    </row>
    <row r="120" ht="30.0" customHeight="1">
      <c r="A120" s="5"/>
    </row>
    <row r="121" ht="30.0" customHeight="1">
      <c r="A121" s="5"/>
    </row>
    <row r="122" ht="30.0" customHeight="1">
      <c r="A122" s="5"/>
    </row>
    <row r="123" ht="30.0" customHeight="1">
      <c r="A123" s="5"/>
    </row>
    <row r="124" ht="30.0" customHeight="1">
      <c r="A124" s="5"/>
    </row>
    <row r="125" ht="30.0" customHeight="1">
      <c r="A125" s="5"/>
    </row>
    <row r="126" ht="30.0" customHeight="1">
      <c r="A126" s="5"/>
    </row>
    <row r="127" ht="30.0" customHeight="1">
      <c r="A127" s="5"/>
    </row>
    <row r="128" ht="30.0" customHeight="1">
      <c r="A128" s="5"/>
    </row>
    <row r="129" ht="30.0" customHeight="1">
      <c r="A129" s="5"/>
    </row>
    <row r="130" ht="30.0" customHeight="1">
      <c r="A130" s="5"/>
    </row>
    <row r="131" ht="30.0" customHeight="1">
      <c r="A131" s="5"/>
    </row>
    <row r="132" ht="30.0" customHeight="1">
      <c r="A132" s="5"/>
    </row>
    <row r="133" ht="30.0" customHeight="1">
      <c r="A133" s="5"/>
    </row>
    <row r="134" ht="30.0" customHeight="1">
      <c r="A134" s="5"/>
    </row>
    <row r="135" ht="30.0" customHeight="1">
      <c r="A135" s="5"/>
    </row>
    <row r="136" ht="30.0" customHeight="1">
      <c r="A136" s="5"/>
    </row>
    <row r="137" ht="30.0" customHeight="1">
      <c r="A137" s="5"/>
    </row>
    <row r="138" ht="30.0" customHeight="1">
      <c r="A138" s="5"/>
    </row>
    <row r="139" ht="30.0" customHeight="1">
      <c r="A139" s="5"/>
    </row>
    <row r="140" ht="30.0" customHeight="1">
      <c r="A140" s="5"/>
    </row>
    <row r="141" ht="30.0" customHeight="1">
      <c r="A141" s="5"/>
    </row>
    <row r="142" ht="30.0" customHeight="1">
      <c r="A142" s="5"/>
    </row>
    <row r="143" ht="30.0" customHeight="1">
      <c r="A143" s="5"/>
    </row>
    <row r="144" ht="30.0" customHeight="1">
      <c r="A144" s="5"/>
    </row>
    <row r="145" ht="30.0" customHeight="1">
      <c r="A145" s="5"/>
    </row>
    <row r="146" ht="30.0" customHeight="1">
      <c r="A146" s="5"/>
    </row>
    <row r="147" ht="30.0" customHeight="1">
      <c r="A147" s="5"/>
    </row>
    <row r="148" ht="30.0" customHeight="1">
      <c r="A148" s="5"/>
    </row>
    <row r="149" ht="30.0" customHeight="1">
      <c r="A149" s="5"/>
    </row>
    <row r="150" ht="30.0" customHeight="1">
      <c r="A150" s="5"/>
    </row>
    <row r="151" ht="30.0" customHeight="1">
      <c r="A151" s="5"/>
    </row>
    <row r="152" ht="30.0" customHeight="1">
      <c r="A152" s="5"/>
    </row>
    <row r="153" ht="30.0" customHeight="1">
      <c r="A153" s="5"/>
    </row>
    <row r="154" ht="30.0" customHeight="1">
      <c r="A154" s="5"/>
    </row>
    <row r="155" ht="30.0" customHeight="1">
      <c r="A155" s="5"/>
    </row>
    <row r="156" ht="30.0" customHeight="1">
      <c r="A156" s="5"/>
    </row>
    <row r="157" ht="30.0" customHeight="1">
      <c r="A157" s="5"/>
    </row>
    <row r="158" ht="30.0" customHeight="1">
      <c r="A158" s="5"/>
    </row>
    <row r="159" ht="30.0" customHeight="1">
      <c r="A159" s="5"/>
    </row>
    <row r="160" ht="30.0" customHeight="1">
      <c r="A160" s="5"/>
    </row>
    <row r="161" ht="30.0" customHeight="1">
      <c r="A161" s="5"/>
    </row>
    <row r="162" ht="30.0" customHeight="1">
      <c r="A162" s="5"/>
    </row>
    <row r="163" ht="30.0" customHeight="1">
      <c r="A163" s="5"/>
    </row>
    <row r="164" ht="30.0" customHeight="1">
      <c r="A164" s="5"/>
    </row>
    <row r="165" ht="30.0" customHeight="1">
      <c r="A165" s="5"/>
    </row>
    <row r="166" ht="30.0" customHeight="1">
      <c r="A166" s="5"/>
    </row>
    <row r="167" ht="30.0" customHeight="1">
      <c r="A167" s="5"/>
    </row>
    <row r="168" ht="30.0" customHeight="1">
      <c r="A168" s="5"/>
    </row>
    <row r="169" ht="30.0" customHeight="1">
      <c r="A169" s="5"/>
    </row>
    <row r="170" ht="30.0" customHeight="1">
      <c r="A170" s="5"/>
    </row>
    <row r="171" ht="30.0" customHeight="1">
      <c r="A171" s="5"/>
    </row>
    <row r="172" ht="30.0" customHeight="1">
      <c r="A172" s="5"/>
    </row>
    <row r="173" ht="30.0" customHeight="1">
      <c r="A173" s="5"/>
    </row>
    <row r="174" ht="30.0" customHeight="1">
      <c r="A174" s="5"/>
    </row>
    <row r="175" ht="30.0" customHeight="1">
      <c r="A175" s="5"/>
    </row>
    <row r="176" ht="30.0" customHeight="1">
      <c r="A176" s="5"/>
    </row>
    <row r="177" ht="30.0" customHeight="1">
      <c r="A177" s="5"/>
    </row>
    <row r="178" ht="30.0" customHeight="1">
      <c r="A178" s="5"/>
    </row>
    <row r="179" ht="30.0" customHeight="1">
      <c r="A179" s="5"/>
    </row>
    <row r="180" ht="30.0" customHeight="1">
      <c r="A180" s="5"/>
    </row>
    <row r="181" ht="30.0" customHeight="1">
      <c r="A181" s="5"/>
    </row>
    <row r="182" ht="30.0" customHeight="1">
      <c r="A182" s="5"/>
    </row>
    <row r="183" ht="30.0" customHeight="1">
      <c r="A183" s="5"/>
    </row>
    <row r="184" ht="30.0" customHeight="1">
      <c r="A184" s="5"/>
    </row>
    <row r="185" ht="30.0" customHeight="1">
      <c r="A185" s="5"/>
    </row>
    <row r="186" ht="30.0" customHeight="1">
      <c r="A186" s="5"/>
    </row>
    <row r="187" ht="30.0" customHeight="1">
      <c r="A187" s="5"/>
    </row>
    <row r="188" ht="30.0" customHeight="1">
      <c r="A188" s="5"/>
    </row>
    <row r="189" ht="30.0" customHeight="1">
      <c r="A189" s="5"/>
    </row>
    <row r="190" ht="30.0" customHeight="1">
      <c r="A190" s="5"/>
    </row>
    <row r="191" ht="30.0" customHeight="1">
      <c r="A191" s="5"/>
    </row>
    <row r="192" ht="30.0" customHeight="1">
      <c r="A192" s="5"/>
    </row>
    <row r="193" ht="30.0" customHeight="1">
      <c r="A193" s="5"/>
    </row>
    <row r="194" ht="30.0" customHeight="1">
      <c r="A194" s="5"/>
    </row>
    <row r="195" ht="30.0" customHeight="1">
      <c r="A195" s="5"/>
    </row>
    <row r="196" ht="30.0" customHeight="1">
      <c r="A196" s="5"/>
    </row>
    <row r="197" ht="30.0" customHeight="1">
      <c r="A197" s="5"/>
    </row>
    <row r="198" ht="30.0" customHeight="1">
      <c r="A198" s="5"/>
    </row>
    <row r="199" ht="30.0" customHeight="1">
      <c r="A199" s="5"/>
    </row>
    <row r="200" ht="30.0" customHeight="1">
      <c r="A200" s="5"/>
    </row>
    <row r="201" ht="30.0" customHeight="1">
      <c r="A201" s="5"/>
    </row>
    <row r="202" ht="30.0" customHeight="1">
      <c r="A202" s="5"/>
    </row>
    <row r="203" ht="30.0" customHeight="1">
      <c r="A203" s="5"/>
    </row>
    <row r="204" ht="30.0" customHeight="1">
      <c r="A204" s="5"/>
    </row>
    <row r="205" ht="30.0" customHeight="1">
      <c r="A205" s="5"/>
    </row>
    <row r="206" ht="30.0" customHeight="1">
      <c r="A206" s="5"/>
    </row>
    <row r="207" ht="30.0" customHeight="1">
      <c r="A207" s="5"/>
    </row>
    <row r="208" ht="30.0" customHeight="1">
      <c r="A208" s="5"/>
    </row>
    <row r="209" ht="30.0" customHeight="1">
      <c r="A209" s="5"/>
    </row>
    <row r="210" ht="30.0" customHeight="1">
      <c r="A210" s="5"/>
    </row>
    <row r="211" ht="30.0" customHeight="1">
      <c r="A211" s="5"/>
    </row>
    <row r="212" ht="30.0" customHeight="1">
      <c r="A212" s="5"/>
    </row>
    <row r="213" ht="30.0" customHeight="1">
      <c r="A213" s="5"/>
    </row>
    <row r="214" ht="30.0" customHeight="1">
      <c r="A214" s="5"/>
    </row>
    <row r="215" ht="30.0" customHeight="1">
      <c r="A215" s="5"/>
    </row>
    <row r="216" ht="30.0" customHeight="1">
      <c r="A216" s="5"/>
    </row>
    <row r="217" ht="30.0" customHeight="1">
      <c r="A217" s="5"/>
    </row>
    <row r="218" ht="30.0" customHeight="1">
      <c r="A218" s="5"/>
    </row>
    <row r="219" ht="30.0" customHeight="1">
      <c r="A219" s="5"/>
    </row>
    <row r="220" ht="30.0" customHeight="1">
      <c r="A220" s="5"/>
    </row>
    <row r="221" ht="30.0" customHeight="1">
      <c r="A221" s="5"/>
    </row>
    <row r="222" ht="30.0" customHeight="1">
      <c r="A222" s="5"/>
    </row>
    <row r="223" ht="30.0" customHeight="1">
      <c r="A223" s="5"/>
    </row>
    <row r="224" ht="30.0" customHeight="1">
      <c r="A224" s="5"/>
    </row>
    <row r="225" ht="30.0" customHeight="1">
      <c r="A225" s="5"/>
    </row>
    <row r="226" ht="30.0" customHeight="1">
      <c r="A226" s="5"/>
    </row>
    <row r="227" ht="30.0" customHeight="1">
      <c r="A227" s="5"/>
    </row>
    <row r="228" ht="30.0" customHeight="1">
      <c r="A228" s="5"/>
    </row>
    <row r="229" ht="30.0" customHeight="1">
      <c r="A229" s="5"/>
    </row>
    <row r="230" ht="30.0" customHeight="1">
      <c r="A230" s="5"/>
    </row>
    <row r="231" ht="30.0" customHeight="1">
      <c r="A231" s="5"/>
    </row>
    <row r="232" ht="30.0" customHeight="1">
      <c r="A232" s="5"/>
    </row>
    <row r="233" ht="30.0" customHeight="1">
      <c r="A233" s="5"/>
    </row>
    <row r="234" ht="30.0" customHeight="1">
      <c r="A234" s="5"/>
    </row>
    <row r="235" ht="30.0" customHeight="1">
      <c r="A235" s="5"/>
    </row>
    <row r="236" ht="30.0" customHeight="1">
      <c r="A236" s="5"/>
    </row>
    <row r="237" ht="30.0" customHeight="1">
      <c r="A237" s="5"/>
    </row>
    <row r="238" ht="30.0" customHeight="1">
      <c r="A238" s="5"/>
    </row>
    <row r="239" ht="30.0" customHeight="1">
      <c r="A239" s="5"/>
    </row>
    <row r="240" ht="30.0" customHeight="1">
      <c r="A240" s="5"/>
    </row>
    <row r="241" ht="30.0" customHeight="1">
      <c r="A241" s="5"/>
    </row>
    <row r="242" ht="30.0" customHeight="1">
      <c r="A242" s="5"/>
    </row>
    <row r="243" ht="30.0" customHeight="1">
      <c r="A243" s="5"/>
    </row>
    <row r="244" ht="30.0" customHeight="1">
      <c r="A244" s="5"/>
    </row>
    <row r="245" ht="30.0" customHeight="1">
      <c r="A245" s="5"/>
    </row>
    <row r="246" ht="30.0" customHeight="1">
      <c r="A246" s="5"/>
    </row>
    <row r="247" ht="30.0" customHeight="1">
      <c r="A247" s="5"/>
    </row>
    <row r="248" ht="30.0" customHeight="1">
      <c r="A248" s="5"/>
    </row>
    <row r="249" ht="30.0" customHeight="1">
      <c r="A249" s="5"/>
    </row>
    <row r="250" ht="30.0" customHeight="1">
      <c r="A250" s="5"/>
    </row>
    <row r="251" ht="30.0" customHeight="1">
      <c r="A251" s="5"/>
    </row>
    <row r="252" ht="30.0" customHeight="1">
      <c r="A252" s="5"/>
    </row>
    <row r="253" ht="30.0" customHeight="1">
      <c r="A253" s="5"/>
    </row>
    <row r="254" ht="30.0" customHeight="1">
      <c r="A254" s="5"/>
    </row>
    <row r="255" ht="30.0" customHeight="1">
      <c r="A255" s="5"/>
    </row>
    <row r="256" ht="30.0" customHeight="1">
      <c r="A256" s="5"/>
    </row>
    <row r="257" ht="30.0" customHeight="1">
      <c r="A257" s="5"/>
    </row>
    <row r="258" ht="30.0" customHeight="1">
      <c r="A258" s="5"/>
    </row>
    <row r="259" ht="30.0" customHeight="1">
      <c r="A259" s="5"/>
    </row>
    <row r="260" ht="30.0" customHeight="1">
      <c r="A260" s="5"/>
    </row>
    <row r="261" ht="30.0" customHeight="1">
      <c r="A261" s="5"/>
    </row>
    <row r="262" ht="30.0" customHeight="1">
      <c r="A262" s="5"/>
    </row>
    <row r="263" ht="30.0" customHeight="1">
      <c r="A263" s="5"/>
    </row>
    <row r="264" ht="30.0" customHeight="1">
      <c r="A264" s="5"/>
    </row>
    <row r="265" ht="30.0" customHeight="1">
      <c r="A265" s="5"/>
    </row>
    <row r="266" ht="30.0" customHeight="1">
      <c r="A266" s="5"/>
    </row>
    <row r="267" ht="30.0" customHeight="1">
      <c r="A267" s="5"/>
    </row>
    <row r="268" ht="30.0" customHeight="1">
      <c r="A268" s="5"/>
    </row>
    <row r="269" ht="30.0" customHeight="1">
      <c r="A269" s="5"/>
    </row>
    <row r="270" ht="30.0" customHeight="1">
      <c r="A270" s="5"/>
    </row>
    <row r="271" ht="30.0" customHeight="1">
      <c r="A271" s="5"/>
    </row>
    <row r="272" ht="30.0" customHeight="1">
      <c r="A272" s="5"/>
    </row>
    <row r="273" ht="30.0" customHeight="1">
      <c r="A273" s="5"/>
    </row>
    <row r="274" ht="30.0" customHeight="1">
      <c r="A274" s="5"/>
    </row>
    <row r="275" ht="30.0" customHeight="1">
      <c r="A275" s="5"/>
    </row>
    <row r="276" ht="30.0" customHeight="1">
      <c r="A276" s="5"/>
    </row>
    <row r="277" ht="30.0" customHeight="1">
      <c r="A277" s="5"/>
    </row>
    <row r="278" ht="30.0" customHeight="1">
      <c r="A278" s="5"/>
    </row>
    <row r="279" ht="30.0" customHeight="1">
      <c r="A279" s="5"/>
    </row>
    <row r="280" ht="30.0" customHeight="1">
      <c r="A280" s="5"/>
    </row>
    <row r="281" ht="30.0" customHeight="1">
      <c r="A281" s="5"/>
    </row>
    <row r="282" ht="30.0" customHeight="1">
      <c r="A282" s="5"/>
    </row>
    <row r="283" ht="30.0" customHeight="1">
      <c r="A283" s="5"/>
    </row>
    <row r="284" ht="30.0" customHeight="1">
      <c r="A284" s="5"/>
    </row>
    <row r="285" ht="30.0" customHeight="1">
      <c r="A285" s="5"/>
    </row>
    <row r="286" ht="30.0" customHeight="1">
      <c r="A286" s="5"/>
    </row>
    <row r="287" ht="30.0" customHeight="1">
      <c r="A287" s="5"/>
    </row>
    <row r="288" ht="30.0" customHeight="1">
      <c r="A288" s="5"/>
    </row>
    <row r="289" ht="30.0" customHeight="1">
      <c r="A289" s="5"/>
    </row>
    <row r="290" ht="30.0" customHeight="1">
      <c r="A290" s="5"/>
    </row>
    <row r="291" ht="30.0" customHeight="1">
      <c r="A291" s="5"/>
    </row>
    <row r="292" ht="30.0" customHeight="1">
      <c r="A292" s="5"/>
    </row>
    <row r="293" ht="30.0" customHeight="1">
      <c r="A293" s="5"/>
    </row>
    <row r="294" ht="30.0" customHeight="1">
      <c r="A294" s="5"/>
    </row>
    <row r="295" ht="30.0" customHeight="1">
      <c r="A295" s="5"/>
    </row>
    <row r="296" ht="30.0" customHeight="1">
      <c r="A296" s="5"/>
    </row>
    <row r="297" ht="30.0" customHeight="1">
      <c r="A297" s="5"/>
    </row>
    <row r="298" ht="30.0" customHeight="1">
      <c r="A298" s="5"/>
    </row>
    <row r="299" ht="30.0" customHeight="1">
      <c r="A299" s="5"/>
    </row>
    <row r="300" ht="30.0" customHeight="1">
      <c r="A300" s="5"/>
    </row>
    <row r="301" ht="30.0" customHeight="1">
      <c r="A301" s="5"/>
    </row>
    <row r="302" ht="30.0" customHeight="1">
      <c r="A302" s="5"/>
    </row>
    <row r="303" ht="30.0" customHeight="1">
      <c r="A303" s="5"/>
    </row>
    <row r="304" ht="30.0" customHeight="1">
      <c r="A304" s="5"/>
    </row>
    <row r="305" ht="30.0" customHeight="1">
      <c r="A305" s="5"/>
    </row>
    <row r="306" ht="30.0" customHeight="1">
      <c r="A306" s="5"/>
    </row>
    <row r="307" ht="30.0" customHeight="1">
      <c r="A307" s="5"/>
    </row>
    <row r="308" ht="30.0" customHeight="1">
      <c r="A308" s="5"/>
    </row>
    <row r="309" ht="30.0" customHeight="1">
      <c r="A309" s="5"/>
    </row>
    <row r="310" ht="30.0" customHeight="1">
      <c r="A310" s="5"/>
    </row>
    <row r="311" ht="30.0" customHeight="1">
      <c r="A311" s="5"/>
    </row>
    <row r="312" ht="30.0" customHeight="1">
      <c r="A312" s="5"/>
    </row>
    <row r="313" ht="30.0" customHeight="1">
      <c r="A313" s="5"/>
    </row>
    <row r="314" ht="30.0" customHeight="1">
      <c r="A314" s="5"/>
    </row>
    <row r="315" ht="30.0" customHeight="1">
      <c r="A315" s="5"/>
    </row>
    <row r="316" ht="30.0" customHeight="1">
      <c r="A316" s="5"/>
    </row>
    <row r="317" ht="30.0" customHeight="1">
      <c r="A317" s="5"/>
    </row>
    <row r="318" ht="30.0" customHeight="1">
      <c r="A318" s="5"/>
    </row>
    <row r="319" ht="30.0" customHeight="1">
      <c r="A319" s="5"/>
    </row>
    <row r="320" ht="30.0" customHeight="1">
      <c r="A320" s="5"/>
    </row>
    <row r="321" ht="30.0" customHeight="1">
      <c r="A321" s="5"/>
    </row>
    <row r="322" ht="30.0" customHeight="1">
      <c r="A322" s="5"/>
    </row>
    <row r="323" ht="30.0" customHeight="1">
      <c r="A323" s="5"/>
    </row>
    <row r="324" ht="30.0" customHeight="1">
      <c r="A324" s="5"/>
    </row>
    <row r="325" ht="30.0" customHeight="1">
      <c r="A325" s="5"/>
    </row>
    <row r="326" ht="30.0" customHeight="1">
      <c r="A326" s="5"/>
    </row>
    <row r="327" ht="30.0" customHeight="1">
      <c r="A327" s="5"/>
    </row>
    <row r="328" ht="30.0" customHeight="1">
      <c r="A328" s="5"/>
    </row>
    <row r="329" ht="30.0" customHeight="1">
      <c r="A329" s="5"/>
    </row>
    <row r="330" ht="30.0" customHeight="1">
      <c r="A330" s="5"/>
    </row>
    <row r="331" ht="30.0" customHeight="1">
      <c r="A331" s="5"/>
    </row>
    <row r="332" ht="30.0" customHeight="1">
      <c r="A332" s="5"/>
    </row>
    <row r="333" ht="30.0" customHeight="1">
      <c r="A333" s="5"/>
    </row>
    <row r="334" ht="30.0" customHeight="1">
      <c r="A334" s="5"/>
    </row>
    <row r="335" ht="30.0" customHeight="1">
      <c r="A335" s="5"/>
    </row>
    <row r="336" ht="30.0" customHeight="1">
      <c r="A336" s="5"/>
    </row>
    <row r="337" ht="30.0" customHeight="1">
      <c r="A337" s="5"/>
    </row>
    <row r="338" ht="30.0" customHeight="1">
      <c r="A338" s="5"/>
    </row>
    <row r="339" ht="30.0" customHeight="1">
      <c r="A339" s="5"/>
    </row>
    <row r="340" ht="30.0" customHeight="1">
      <c r="A340" s="5"/>
    </row>
    <row r="341" ht="30.0" customHeight="1">
      <c r="A341" s="5"/>
    </row>
    <row r="342" ht="30.0" customHeight="1">
      <c r="A342" s="5"/>
    </row>
    <row r="343" ht="30.0" customHeight="1">
      <c r="A343" s="5"/>
    </row>
    <row r="344" ht="30.0" customHeight="1">
      <c r="A344" s="5"/>
    </row>
    <row r="345" ht="30.0" customHeight="1">
      <c r="A345" s="5"/>
    </row>
    <row r="346" ht="30.0" customHeight="1">
      <c r="A346" s="5"/>
    </row>
    <row r="347" ht="30.0" customHeight="1">
      <c r="A347" s="5"/>
    </row>
    <row r="348" ht="30.0" customHeight="1">
      <c r="A348" s="5"/>
    </row>
    <row r="349" ht="30.0" customHeight="1">
      <c r="A349" s="5"/>
    </row>
    <row r="350" ht="30.0" customHeight="1">
      <c r="A350" s="5"/>
    </row>
    <row r="351" ht="30.0" customHeight="1">
      <c r="A351" s="5"/>
    </row>
    <row r="352" ht="30.0" customHeight="1">
      <c r="A352" s="5"/>
    </row>
    <row r="353" ht="30.0" customHeight="1">
      <c r="A353" s="5"/>
    </row>
    <row r="354" ht="30.0" customHeight="1">
      <c r="A354" s="5"/>
    </row>
    <row r="355" ht="30.0" customHeight="1">
      <c r="A355" s="5"/>
    </row>
    <row r="356" ht="30.0" customHeight="1">
      <c r="A356" s="5"/>
    </row>
    <row r="357" ht="30.0" customHeight="1">
      <c r="A357" s="5"/>
    </row>
    <row r="358" ht="30.0" customHeight="1">
      <c r="A358" s="5"/>
    </row>
    <row r="359" ht="30.0" customHeight="1">
      <c r="A359" s="5"/>
    </row>
    <row r="360" ht="30.0" customHeight="1">
      <c r="A360" s="5"/>
    </row>
    <row r="361" ht="30.0" customHeight="1">
      <c r="A361" s="5"/>
    </row>
    <row r="362" ht="30.0" customHeight="1">
      <c r="A362" s="5"/>
    </row>
    <row r="363" ht="30.0" customHeight="1">
      <c r="A363" s="5"/>
    </row>
    <row r="364" ht="30.0" customHeight="1">
      <c r="A364" s="5"/>
    </row>
    <row r="365" ht="30.0" customHeight="1">
      <c r="A365" s="5"/>
    </row>
    <row r="366" ht="30.0" customHeight="1">
      <c r="A366" s="5"/>
    </row>
    <row r="367" ht="30.0" customHeight="1">
      <c r="A367" s="5"/>
    </row>
    <row r="368" ht="30.0" customHeight="1">
      <c r="A368" s="5"/>
    </row>
    <row r="369" ht="30.0" customHeight="1">
      <c r="A369" s="5"/>
    </row>
    <row r="370" ht="30.0" customHeight="1">
      <c r="A370" s="5"/>
    </row>
    <row r="371" ht="30.0" customHeight="1">
      <c r="A371" s="5"/>
    </row>
    <row r="372" ht="30.0" customHeight="1">
      <c r="A372" s="5"/>
    </row>
    <row r="373" ht="30.0" customHeight="1">
      <c r="A373" s="5"/>
    </row>
    <row r="374" ht="30.0" customHeight="1">
      <c r="A374" s="5"/>
    </row>
    <row r="375" ht="30.0" customHeight="1">
      <c r="A375" s="5"/>
    </row>
    <row r="376" ht="30.0" customHeight="1">
      <c r="A376" s="5"/>
    </row>
    <row r="377" ht="30.0" customHeight="1">
      <c r="A377" s="5"/>
    </row>
    <row r="378" ht="30.0" customHeight="1">
      <c r="A378" s="5"/>
    </row>
    <row r="379" ht="30.0" customHeight="1">
      <c r="A379" s="5"/>
    </row>
    <row r="380" ht="30.0" customHeight="1">
      <c r="A380" s="5"/>
    </row>
    <row r="381" ht="30.0" customHeight="1">
      <c r="A381" s="5"/>
    </row>
    <row r="382" ht="30.0" customHeight="1">
      <c r="A382" s="5"/>
    </row>
    <row r="383" ht="30.0" customHeight="1">
      <c r="A383" s="5"/>
    </row>
    <row r="384" ht="30.0" customHeight="1">
      <c r="A384" s="5"/>
    </row>
    <row r="385" ht="30.0" customHeight="1">
      <c r="A385" s="5"/>
    </row>
    <row r="386" ht="30.0" customHeight="1">
      <c r="A386" s="5"/>
    </row>
    <row r="387" ht="30.0" customHeight="1">
      <c r="A387" s="5"/>
    </row>
    <row r="388" ht="30.0" customHeight="1">
      <c r="A388" s="5"/>
    </row>
    <row r="389" ht="30.0" customHeight="1">
      <c r="A389" s="5"/>
    </row>
    <row r="390" ht="30.0" customHeight="1">
      <c r="A390" s="5"/>
    </row>
    <row r="391" ht="30.0" customHeight="1">
      <c r="A391" s="5"/>
    </row>
    <row r="392" ht="30.0" customHeight="1">
      <c r="A392" s="5"/>
    </row>
    <row r="393" ht="30.0" customHeight="1">
      <c r="A393" s="5"/>
    </row>
    <row r="394" ht="30.0" customHeight="1">
      <c r="A394" s="5"/>
    </row>
    <row r="395" ht="30.0" customHeight="1">
      <c r="A395" s="5"/>
    </row>
    <row r="396" ht="30.0" customHeight="1">
      <c r="A396" s="5"/>
    </row>
    <row r="397" ht="30.0" customHeight="1">
      <c r="A397" s="5"/>
    </row>
    <row r="398" ht="30.0" customHeight="1">
      <c r="A398" s="5"/>
    </row>
    <row r="399" ht="30.0" customHeight="1">
      <c r="A399" s="5"/>
    </row>
    <row r="400" ht="30.0" customHeight="1">
      <c r="A400" s="5"/>
    </row>
    <row r="401" ht="30.0" customHeight="1">
      <c r="A401" s="5"/>
    </row>
    <row r="402" ht="30.0" customHeight="1">
      <c r="A402" s="5"/>
    </row>
    <row r="403" ht="30.0" customHeight="1">
      <c r="A403" s="5"/>
    </row>
    <row r="404" ht="30.0" customHeight="1">
      <c r="A404" s="5"/>
    </row>
    <row r="405" ht="30.0" customHeight="1">
      <c r="A405" s="5"/>
    </row>
    <row r="406" ht="30.0" customHeight="1">
      <c r="A406" s="5"/>
    </row>
    <row r="407" ht="30.0" customHeight="1">
      <c r="A407" s="5"/>
    </row>
    <row r="408" ht="30.0" customHeight="1">
      <c r="A408" s="5"/>
    </row>
    <row r="409" ht="30.0" customHeight="1">
      <c r="A409" s="5"/>
    </row>
    <row r="410" ht="30.0" customHeight="1">
      <c r="A410" s="5"/>
    </row>
    <row r="411" ht="30.0" customHeight="1">
      <c r="A411" s="5"/>
    </row>
    <row r="412" ht="30.0" customHeight="1">
      <c r="A412" s="5"/>
    </row>
    <row r="413" ht="30.0" customHeight="1">
      <c r="A413" s="5"/>
    </row>
    <row r="414" ht="30.0" customHeight="1">
      <c r="A414" s="5"/>
    </row>
    <row r="415" ht="30.0" customHeight="1">
      <c r="A415" s="5"/>
    </row>
    <row r="416" ht="30.0" customHeight="1">
      <c r="A416" s="5"/>
    </row>
    <row r="417" ht="30.0" customHeight="1">
      <c r="A417" s="5"/>
    </row>
    <row r="418" ht="30.0" customHeight="1">
      <c r="A418" s="5"/>
    </row>
    <row r="419" ht="30.0" customHeight="1">
      <c r="A419" s="5"/>
    </row>
    <row r="420" ht="30.0" customHeight="1">
      <c r="A420" s="5"/>
    </row>
    <row r="421" ht="30.0" customHeight="1">
      <c r="A421" s="5"/>
    </row>
    <row r="422" ht="30.0" customHeight="1">
      <c r="A422" s="5"/>
    </row>
    <row r="423" ht="30.0" customHeight="1">
      <c r="A423" s="5"/>
    </row>
    <row r="424" ht="30.0" customHeight="1">
      <c r="A424" s="5"/>
    </row>
    <row r="425" ht="30.0" customHeight="1">
      <c r="A425" s="5"/>
    </row>
    <row r="426" ht="30.0" customHeight="1">
      <c r="A426" s="5"/>
    </row>
    <row r="427" ht="30.0" customHeight="1">
      <c r="A427" s="5"/>
    </row>
    <row r="428" ht="30.0" customHeight="1">
      <c r="A428" s="5"/>
    </row>
    <row r="429" ht="30.0" customHeight="1">
      <c r="A429" s="5"/>
    </row>
    <row r="430" ht="30.0" customHeight="1">
      <c r="A430" s="5"/>
    </row>
    <row r="431" ht="30.0" customHeight="1">
      <c r="A431" s="5"/>
    </row>
    <row r="432" ht="30.0" customHeight="1">
      <c r="A432" s="5"/>
    </row>
    <row r="433" ht="30.0" customHeight="1">
      <c r="A433" s="5"/>
    </row>
    <row r="434" ht="30.0" customHeight="1">
      <c r="A434" s="5"/>
    </row>
    <row r="435" ht="30.0" customHeight="1">
      <c r="A435" s="5"/>
    </row>
    <row r="436" ht="30.0" customHeight="1">
      <c r="A436" s="5"/>
    </row>
    <row r="437" ht="30.0" customHeight="1">
      <c r="A437" s="5"/>
    </row>
    <row r="438" ht="30.0" customHeight="1">
      <c r="A438" s="5"/>
    </row>
    <row r="439" ht="30.0" customHeight="1">
      <c r="A439" s="5"/>
    </row>
    <row r="440" ht="30.0" customHeight="1">
      <c r="A440" s="5"/>
    </row>
    <row r="441" ht="30.0" customHeight="1">
      <c r="A441" s="5"/>
    </row>
    <row r="442" ht="30.0" customHeight="1">
      <c r="A442" s="5"/>
    </row>
    <row r="443" ht="30.0" customHeight="1">
      <c r="A443" s="5"/>
    </row>
    <row r="444" ht="30.0" customHeight="1">
      <c r="A444" s="5"/>
    </row>
    <row r="445" ht="30.0" customHeight="1">
      <c r="A445" s="5"/>
    </row>
    <row r="446" ht="30.0" customHeight="1">
      <c r="A446" s="5"/>
    </row>
    <row r="447" ht="30.0" customHeight="1">
      <c r="A447" s="5"/>
    </row>
    <row r="448" ht="30.0" customHeight="1">
      <c r="A448" s="5"/>
    </row>
    <row r="449" ht="30.0" customHeight="1">
      <c r="A449" s="5"/>
    </row>
    <row r="450" ht="30.0" customHeight="1">
      <c r="A450" s="5"/>
    </row>
    <row r="451" ht="30.0" customHeight="1">
      <c r="A451" s="5"/>
    </row>
    <row r="452" ht="30.0" customHeight="1">
      <c r="A452" s="5"/>
    </row>
    <row r="453" ht="30.0" customHeight="1">
      <c r="A453" s="5"/>
    </row>
    <row r="454" ht="30.0" customHeight="1">
      <c r="A454" s="5"/>
    </row>
    <row r="455" ht="30.0" customHeight="1">
      <c r="A455" s="5"/>
    </row>
    <row r="456" ht="30.0" customHeight="1">
      <c r="A456" s="5"/>
    </row>
    <row r="457" ht="30.0" customHeight="1">
      <c r="A457" s="5"/>
    </row>
    <row r="458" ht="30.0" customHeight="1">
      <c r="A458" s="5"/>
    </row>
    <row r="459" ht="30.0" customHeight="1">
      <c r="A459" s="5"/>
    </row>
    <row r="460" ht="30.0" customHeight="1">
      <c r="A460" s="5"/>
    </row>
    <row r="461" ht="30.0" customHeight="1">
      <c r="A461" s="5"/>
    </row>
    <row r="462" ht="30.0" customHeight="1">
      <c r="A462" s="5"/>
    </row>
    <row r="463" ht="30.0" customHeight="1">
      <c r="A463" s="5"/>
    </row>
    <row r="464" ht="30.0" customHeight="1">
      <c r="A464" s="5"/>
    </row>
    <row r="465" ht="30.0" customHeight="1">
      <c r="A465" s="5"/>
    </row>
    <row r="466" ht="30.0" customHeight="1">
      <c r="A466" s="5"/>
    </row>
    <row r="467" ht="30.0" customHeight="1">
      <c r="A467" s="5"/>
    </row>
    <row r="468" ht="30.0" customHeight="1">
      <c r="A468" s="5"/>
    </row>
    <row r="469" ht="30.0" customHeight="1">
      <c r="A469" s="5"/>
    </row>
    <row r="470" ht="30.0" customHeight="1">
      <c r="A470" s="5"/>
    </row>
    <row r="471" ht="30.0" customHeight="1">
      <c r="A471" s="5"/>
    </row>
    <row r="472" ht="30.0" customHeight="1">
      <c r="A472" s="5"/>
    </row>
    <row r="473" ht="30.0" customHeight="1">
      <c r="A473" s="5"/>
    </row>
    <row r="474" ht="30.0" customHeight="1">
      <c r="A474" s="5"/>
    </row>
    <row r="475" ht="30.0" customHeight="1">
      <c r="A475" s="5"/>
    </row>
    <row r="476" ht="30.0" customHeight="1">
      <c r="A476" s="5"/>
    </row>
    <row r="477" ht="30.0" customHeight="1">
      <c r="A477" s="5"/>
    </row>
    <row r="478" ht="30.0" customHeight="1">
      <c r="A478" s="5"/>
    </row>
    <row r="479" ht="30.0" customHeight="1">
      <c r="A479" s="5"/>
    </row>
    <row r="480" ht="30.0" customHeight="1">
      <c r="A480" s="5"/>
    </row>
    <row r="481" ht="30.0" customHeight="1">
      <c r="A481" s="5"/>
    </row>
    <row r="482" ht="30.0" customHeight="1">
      <c r="A482" s="5"/>
    </row>
    <row r="483" ht="30.0" customHeight="1">
      <c r="A483" s="5"/>
    </row>
    <row r="484" ht="30.0" customHeight="1">
      <c r="A484" s="5"/>
    </row>
    <row r="485" ht="30.0" customHeight="1">
      <c r="A485" s="5"/>
    </row>
    <row r="486" ht="30.0" customHeight="1">
      <c r="A486" s="5"/>
    </row>
    <row r="487" ht="30.0" customHeight="1">
      <c r="A487" s="5"/>
    </row>
    <row r="488" ht="30.0" customHeight="1">
      <c r="A488" s="5"/>
    </row>
    <row r="489" ht="30.0" customHeight="1">
      <c r="A489" s="5"/>
    </row>
    <row r="490" ht="30.0" customHeight="1">
      <c r="A490" s="5"/>
    </row>
    <row r="491" ht="30.0" customHeight="1">
      <c r="A491" s="5"/>
    </row>
    <row r="492" ht="30.0" customHeight="1">
      <c r="A492" s="5"/>
    </row>
    <row r="493" ht="30.0" customHeight="1">
      <c r="A493" s="5"/>
    </row>
    <row r="494" ht="30.0" customHeight="1">
      <c r="A494" s="5"/>
    </row>
    <row r="495" ht="30.0" customHeight="1">
      <c r="A495" s="5"/>
    </row>
    <row r="496" ht="30.0" customHeight="1">
      <c r="A496" s="5"/>
    </row>
    <row r="497" ht="30.0" customHeight="1">
      <c r="A497" s="5"/>
    </row>
    <row r="498" ht="30.0" customHeight="1">
      <c r="A498" s="5"/>
    </row>
    <row r="499" ht="30.0" customHeight="1">
      <c r="A499" s="5"/>
    </row>
    <row r="500" ht="30.0" customHeight="1">
      <c r="A500" s="5"/>
    </row>
    <row r="501" ht="30.0" customHeight="1">
      <c r="A501" s="5"/>
    </row>
    <row r="502" ht="30.0" customHeight="1">
      <c r="A502" s="5"/>
    </row>
    <row r="503" ht="30.0" customHeight="1">
      <c r="A503" s="5"/>
    </row>
    <row r="504" ht="30.0" customHeight="1">
      <c r="A504" s="5"/>
    </row>
    <row r="505" ht="30.0" customHeight="1">
      <c r="A505" s="5"/>
    </row>
    <row r="506" ht="30.0" customHeight="1">
      <c r="A506" s="5"/>
    </row>
    <row r="507" ht="30.0" customHeight="1">
      <c r="A507" s="5"/>
    </row>
    <row r="508" ht="30.0" customHeight="1">
      <c r="A508" s="5"/>
    </row>
    <row r="509" ht="30.0" customHeight="1">
      <c r="A509" s="5"/>
    </row>
    <row r="510" ht="30.0" customHeight="1">
      <c r="A510" s="5"/>
    </row>
    <row r="511" ht="30.0" customHeight="1">
      <c r="A511" s="5"/>
    </row>
    <row r="512" ht="30.0" customHeight="1">
      <c r="A512" s="5"/>
    </row>
    <row r="513" ht="30.0" customHeight="1">
      <c r="A513" s="5"/>
    </row>
    <row r="514" ht="30.0" customHeight="1">
      <c r="A514" s="5"/>
    </row>
    <row r="515" ht="30.0" customHeight="1">
      <c r="A515" s="5"/>
    </row>
    <row r="516" ht="30.0" customHeight="1">
      <c r="A516" s="5"/>
    </row>
    <row r="517" ht="30.0" customHeight="1">
      <c r="A517" s="5"/>
    </row>
    <row r="518" ht="30.0" customHeight="1">
      <c r="A518" s="5"/>
    </row>
    <row r="519" ht="30.0" customHeight="1">
      <c r="A519" s="5"/>
    </row>
    <row r="520" ht="30.0" customHeight="1">
      <c r="A520" s="5"/>
    </row>
    <row r="521" ht="30.0" customHeight="1">
      <c r="A521" s="5"/>
    </row>
    <row r="522" ht="30.0" customHeight="1">
      <c r="A522" s="5"/>
    </row>
    <row r="523" ht="30.0" customHeight="1">
      <c r="A523" s="5"/>
    </row>
    <row r="524" ht="30.0" customHeight="1">
      <c r="A524" s="5"/>
    </row>
    <row r="525" ht="30.0" customHeight="1">
      <c r="A525" s="5"/>
    </row>
    <row r="526" ht="30.0" customHeight="1">
      <c r="A526" s="5"/>
    </row>
    <row r="527" ht="30.0" customHeight="1">
      <c r="A527" s="5"/>
    </row>
    <row r="528" ht="30.0" customHeight="1">
      <c r="A528" s="5"/>
    </row>
    <row r="529" ht="30.0" customHeight="1">
      <c r="A529" s="5"/>
    </row>
    <row r="530" ht="30.0" customHeight="1">
      <c r="A530" s="5"/>
    </row>
    <row r="531" ht="30.0" customHeight="1">
      <c r="A531" s="5"/>
    </row>
    <row r="532" ht="30.0" customHeight="1">
      <c r="A532" s="5"/>
    </row>
    <row r="533" ht="30.0" customHeight="1">
      <c r="A533" s="5"/>
    </row>
    <row r="534" ht="30.0" customHeight="1">
      <c r="A534" s="5"/>
    </row>
    <row r="535" ht="30.0" customHeight="1">
      <c r="A535" s="5"/>
    </row>
    <row r="536" ht="30.0" customHeight="1">
      <c r="A536" s="5"/>
    </row>
    <row r="537" ht="30.0" customHeight="1">
      <c r="A537" s="5"/>
    </row>
    <row r="538" ht="30.0" customHeight="1">
      <c r="A538" s="5"/>
    </row>
    <row r="539" ht="30.0" customHeight="1">
      <c r="A539" s="5"/>
    </row>
    <row r="540" ht="30.0" customHeight="1">
      <c r="A540" s="5"/>
    </row>
    <row r="541" ht="30.0" customHeight="1">
      <c r="A541" s="5"/>
    </row>
    <row r="542" ht="30.0" customHeight="1">
      <c r="A542" s="5"/>
    </row>
    <row r="543" ht="30.0" customHeight="1">
      <c r="A543" s="5"/>
    </row>
    <row r="544" ht="30.0" customHeight="1">
      <c r="A544" s="5"/>
    </row>
    <row r="545" ht="30.0" customHeight="1">
      <c r="A545" s="5"/>
    </row>
    <row r="546" ht="30.0" customHeight="1">
      <c r="A546" s="5"/>
    </row>
    <row r="547" ht="30.0" customHeight="1">
      <c r="A547" s="5"/>
    </row>
    <row r="548" ht="30.0" customHeight="1">
      <c r="A548" s="5"/>
    </row>
    <row r="549" ht="30.0" customHeight="1">
      <c r="A549" s="5"/>
    </row>
    <row r="550" ht="30.0" customHeight="1">
      <c r="A550" s="5"/>
    </row>
    <row r="551" ht="30.0" customHeight="1">
      <c r="A551" s="5"/>
    </row>
    <row r="552" ht="30.0" customHeight="1">
      <c r="A552" s="5"/>
    </row>
    <row r="553" ht="30.0" customHeight="1">
      <c r="A553" s="5"/>
    </row>
    <row r="554" ht="30.0" customHeight="1">
      <c r="A554" s="5"/>
    </row>
    <row r="555" ht="30.0" customHeight="1">
      <c r="A555" s="5"/>
    </row>
    <row r="556" ht="30.0" customHeight="1">
      <c r="A556" s="5"/>
    </row>
    <row r="557" ht="30.0" customHeight="1">
      <c r="A557" s="5"/>
    </row>
    <row r="558" ht="30.0" customHeight="1">
      <c r="A558" s="5"/>
    </row>
    <row r="559" ht="30.0" customHeight="1">
      <c r="A559" s="5"/>
    </row>
    <row r="560" ht="30.0" customHeight="1">
      <c r="A560" s="5"/>
    </row>
    <row r="561" ht="30.0" customHeight="1">
      <c r="A561" s="5"/>
    </row>
    <row r="562" ht="30.0" customHeight="1">
      <c r="A562" s="5"/>
    </row>
    <row r="563" ht="30.0" customHeight="1">
      <c r="A563" s="5"/>
    </row>
    <row r="564" ht="30.0" customHeight="1">
      <c r="A564" s="5"/>
    </row>
    <row r="565" ht="30.0" customHeight="1">
      <c r="A565" s="5"/>
    </row>
    <row r="566" ht="30.0" customHeight="1">
      <c r="A566" s="5"/>
    </row>
    <row r="567" ht="30.0" customHeight="1">
      <c r="A567" s="5"/>
    </row>
    <row r="568" ht="30.0" customHeight="1">
      <c r="A568" s="5"/>
    </row>
    <row r="569" ht="30.0" customHeight="1">
      <c r="A569" s="5"/>
    </row>
    <row r="570" ht="30.0" customHeight="1">
      <c r="A570" s="5"/>
    </row>
    <row r="571" ht="30.0" customHeight="1">
      <c r="A571" s="5"/>
    </row>
    <row r="572" ht="30.0" customHeight="1">
      <c r="A572" s="5"/>
    </row>
    <row r="573" ht="30.0" customHeight="1">
      <c r="A573" s="5"/>
    </row>
    <row r="574" ht="30.0" customHeight="1">
      <c r="A574" s="5"/>
    </row>
    <row r="575" ht="30.0" customHeight="1">
      <c r="A575" s="5"/>
    </row>
    <row r="576" ht="30.0" customHeight="1">
      <c r="A576" s="5"/>
    </row>
    <row r="577" ht="30.0" customHeight="1">
      <c r="A577" s="5"/>
    </row>
    <row r="578" ht="30.0" customHeight="1">
      <c r="A578" s="5"/>
    </row>
    <row r="579" ht="30.0" customHeight="1">
      <c r="A579" s="5"/>
    </row>
    <row r="580" ht="30.0" customHeight="1">
      <c r="A580" s="5"/>
    </row>
    <row r="581" ht="30.0" customHeight="1">
      <c r="A581" s="5"/>
    </row>
    <row r="582" ht="30.0" customHeight="1">
      <c r="A582" s="5"/>
    </row>
    <row r="583" ht="30.0" customHeight="1">
      <c r="A583" s="5"/>
    </row>
    <row r="584" ht="30.0" customHeight="1">
      <c r="A584" s="5"/>
    </row>
    <row r="585" ht="30.0" customHeight="1">
      <c r="A585" s="5"/>
    </row>
    <row r="586" ht="30.0" customHeight="1">
      <c r="A586" s="5"/>
    </row>
    <row r="587" ht="30.0" customHeight="1">
      <c r="A587" s="5"/>
    </row>
    <row r="588" ht="30.0" customHeight="1">
      <c r="A588" s="5"/>
    </row>
    <row r="589" ht="30.0" customHeight="1">
      <c r="A589" s="5"/>
    </row>
    <row r="590" ht="30.0" customHeight="1">
      <c r="A590" s="5"/>
    </row>
    <row r="591" ht="30.0" customHeight="1">
      <c r="A591" s="5"/>
    </row>
    <row r="592" ht="30.0" customHeight="1">
      <c r="A592" s="5"/>
    </row>
    <row r="593" ht="30.0" customHeight="1">
      <c r="A593" s="5"/>
    </row>
    <row r="594" ht="30.0" customHeight="1">
      <c r="A594" s="5"/>
    </row>
    <row r="595" ht="30.0" customHeight="1">
      <c r="A595" s="5"/>
    </row>
    <row r="596" ht="30.0" customHeight="1">
      <c r="A596" s="5"/>
    </row>
    <row r="597" ht="30.0" customHeight="1">
      <c r="A597" s="5"/>
    </row>
    <row r="598" ht="30.0" customHeight="1">
      <c r="A598" s="5"/>
    </row>
    <row r="599" ht="30.0" customHeight="1">
      <c r="A599" s="5"/>
    </row>
    <row r="600" ht="30.0" customHeight="1">
      <c r="A600" s="5"/>
    </row>
    <row r="601" ht="30.0" customHeight="1">
      <c r="A601" s="5"/>
    </row>
    <row r="602" ht="30.0" customHeight="1">
      <c r="A602" s="5"/>
    </row>
    <row r="603" ht="30.0" customHeight="1">
      <c r="A603" s="5"/>
    </row>
    <row r="604" ht="30.0" customHeight="1">
      <c r="A604" s="5"/>
    </row>
    <row r="605" ht="30.0" customHeight="1">
      <c r="A605" s="5"/>
    </row>
    <row r="606" ht="30.0" customHeight="1">
      <c r="A606" s="5"/>
    </row>
    <row r="607" ht="30.0" customHeight="1">
      <c r="A607" s="5"/>
    </row>
    <row r="608" ht="30.0" customHeight="1">
      <c r="A608" s="5"/>
    </row>
    <row r="609" ht="30.0" customHeight="1">
      <c r="A609" s="5"/>
    </row>
    <row r="610" ht="30.0" customHeight="1">
      <c r="A610" s="5"/>
    </row>
    <row r="611" ht="30.0" customHeight="1">
      <c r="A611" s="5"/>
    </row>
    <row r="612" ht="30.0" customHeight="1">
      <c r="A612" s="5"/>
    </row>
    <row r="613" ht="30.0" customHeight="1">
      <c r="A613" s="5"/>
    </row>
    <row r="614" ht="30.0" customHeight="1">
      <c r="A614" s="5"/>
    </row>
    <row r="615" ht="30.0" customHeight="1">
      <c r="A615" s="5"/>
    </row>
    <row r="616" ht="30.0" customHeight="1">
      <c r="A616" s="5"/>
    </row>
    <row r="617" ht="30.0" customHeight="1">
      <c r="A617" s="5"/>
    </row>
    <row r="618" ht="30.0" customHeight="1">
      <c r="A618" s="5"/>
    </row>
    <row r="619" ht="30.0" customHeight="1">
      <c r="A619" s="5"/>
    </row>
    <row r="620" ht="30.0" customHeight="1">
      <c r="A620" s="5"/>
    </row>
    <row r="621" ht="30.0" customHeight="1">
      <c r="A621" s="5"/>
    </row>
    <row r="622" ht="30.0" customHeight="1">
      <c r="A622" s="5"/>
    </row>
    <row r="623" ht="30.0" customHeight="1">
      <c r="A623" s="5"/>
    </row>
    <row r="624" ht="30.0" customHeight="1">
      <c r="A624" s="5"/>
    </row>
    <row r="625" ht="30.0" customHeight="1">
      <c r="A625" s="5"/>
    </row>
    <row r="626" ht="30.0" customHeight="1">
      <c r="A626" s="5"/>
    </row>
    <row r="627" ht="30.0" customHeight="1">
      <c r="A627" s="5"/>
    </row>
    <row r="628" ht="30.0" customHeight="1">
      <c r="A628" s="5"/>
    </row>
    <row r="629" ht="30.0" customHeight="1">
      <c r="A629" s="5"/>
    </row>
    <row r="630" ht="30.0" customHeight="1">
      <c r="A630" s="5"/>
    </row>
    <row r="631" ht="30.0" customHeight="1">
      <c r="A631" s="5"/>
    </row>
    <row r="632" ht="30.0" customHeight="1">
      <c r="A632" s="5"/>
    </row>
    <row r="633" ht="30.0" customHeight="1">
      <c r="A633" s="5"/>
    </row>
    <row r="634" ht="30.0" customHeight="1">
      <c r="A634" s="5"/>
    </row>
    <row r="635" ht="30.0" customHeight="1">
      <c r="A635" s="5"/>
    </row>
    <row r="636" ht="30.0" customHeight="1">
      <c r="A636" s="5"/>
    </row>
    <row r="637" ht="30.0" customHeight="1">
      <c r="A637" s="5"/>
    </row>
    <row r="638" ht="30.0" customHeight="1">
      <c r="A638" s="5"/>
    </row>
    <row r="639" ht="30.0" customHeight="1">
      <c r="A639" s="5"/>
    </row>
    <row r="640" ht="30.0" customHeight="1">
      <c r="A640" s="5"/>
    </row>
    <row r="641" ht="30.0" customHeight="1">
      <c r="A641" s="5"/>
    </row>
    <row r="642" ht="30.0" customHeight="1">
      <c r="A642" s="5"/>
    </row>
    <row r="643" ht="30.0" customHeight="1">
      <c r="A643" s="5"/>
    </row>
    <row r="644" ht="30.0" customHeight="1">
      <c r="A644" s="5"/>
    </row>
    <row r="645" ht="30.0" customHeight="1">
      <c r="A645" s="5"/>
    </row>
    <row r="646" ht="30.0" customHeight="1">
      <c r="A646" s="5"/>
    </row>
    <row r="647" ht="30.0" customHeight="1">
      <c r="A647" s="5"/>
    </row>
    <row r="648" ht="30.0" customHeight="1">
      <c r="A648" s="5"/>
    </row>
    <row r="649" ht="30.0" customHeight="1">
      <c r="A649" s="5"/>
    </row>
    <row r="650" ht="30.0" customHeight="1">
      <c r="A650" s="5"/>
    </row>
    <row r="651" ht="30.0" customHeight="1">
      <c r="A651" s="5"/>
    </row>
    <row r="652" ht="30.0" customHeight="1">
      <c r="A652" s="5"/>
    </row>
    <row r="653" ht="30.0" customHeight="1">
      <c r="A653" s="5"/>
    </row>
    <row r="654" ht="30.0" customHeight="1">
      <c r="A654" s="5"/>
    </row>
    <row r="655" ht="30.0" customHeight="1">
      <c r="A655" s="5"/>
    </row>
    <row r="656" ht="30.0" customHeight="1">
      <c r="A656" s="5"/>
    </row>
    <row r="657" ht="30.0" customHeight="1">
      <c r="A657" s="5"/>
    </row>
    <row r="658" ht="30.0" customHeight="1">
      <c r="A658" s="5"/>
    </row>
    <row r="659" ht="30.0" customHeight="1">
      <c r="A659" s="5"/>
    </row>
    <row r="660" ht="30.0" customHeight="1">
      <c r="A660" s="5"/>
    </row>
    <row r="661" ht="30.0" customHeight="1">
      <c r="A661" s="5"/>
    </row>
    <row r="662" ht="30.0" customHeight="1">
      <c r="A662" s="5"/>
    </row>
    <row r="663" ht="30.0" customHeight="1">
      <c r="A663" s="5"/>
    </row>
    <row r="664" ht="30.0" customHeight="1">
      <c r="A664" s="5"/>
    </row>
    <row r="665" ht="30.0" customHeight="1">
      <c r="A665" s="5"/>
    </row>
    <row r="666" ht="30.0" customHeight="1">
      <c r="A666" s="5"/>
    </row>
    <row r="667" ht="30.0" customHeight="1">
      <c r="A667" s="5"/>
    </row>
    <row r="668" ht="30.0" customHeight="1">
      <c r="A668" s="5"/>
    </row>
    <row r="669" ht="30.0" customHeight="1">
      <c r="A669" s="5"/>
    </row>
    <row r="670" ht="30.0" customHeight="1">
      <c r="A670" s="5"/>
    </row>
    <row r="671" ht="30.0" customHeight="1">
      <c r="A671" s="5"/>
    </row>
    <row r="672" ht="30.0" customHeight="1">
      <c r="A672" s="5"/>
    </row>
    <row r="673" ht="30.0" customHeight="1">
      <c r="A673" s="5"/>
    </row>
    <row r="674" ht="30.0" customHeight="1">
      <c r="A674" s="5"/>
    </row>
    <row r="675" ht="30.0" customHeight="1">
      <c r="A675" s="5"/>
    </row>
    <row r="676" ht="30.0" customHeight="1">
      <c r="A676" s="5"/>
    </row>
    <row r="677" ht="30.0" customHeight="1">
      <c r="A677" s="5"/>
    </row>
    <row r="678" ht="30.0" customHeight="1">
      <c r="A678" s="5"/>
    </row>
    <row r="679" ht="30.0" customHeight="1">
      <c r="A679" s="5"/>
    </row>
    <row r="680" ht="30.0" customHeight="1">
      <c r="A680" s="5"/>
    </row>
    <row r="681" ht="30.0" customHeight="1">
      <c r="A681" s="5"/>
    </row>
    <row r="682" ht="30.0" customHeight="1">
      <c r="A682" s="5"/>
    </row>
    <row r="683" ht="30.0" customHeight="1">
      <c r="A683" s="5"/>
    </row>
    <row r="684" ht="30.0" customHeight="1">
      <c r="A684" s="5"/>
    </row>
    <row r="685" ht="30.0" customHeight="1">
      <c r="A685" s="5"/>
    </row>
    <row r="686" ht="30.0" customHeight="1">
      <c r="A686" s="5"/>
    </row>
    <row r="687" ht="30.0" customHeight="1">
      <c r="A687" s="5"/>
    </row>
    <row r="688" ht="30.0" customHeight="1">
      <c r="A688" s="5"/>
    </row>
    <row r="689" ht="30.0" customHeight="1">
      <c r="A689" s="5"/>
    </row>
    <row r="690" ht="30.0" customHeight="1">
      <c r="A690" s="5"/>
    </row>
    <row r="691" ht="30.0" customHeight="1">
      <c r="A691" s="5"/>
    </row>
    <row r="692" ht="30.0" customHeight="1">
      <c r="A692" s="5"/>
    </row>
    <row r="693" ht="30.0" customHeight="1">
      <c r="A693" s="5"/>
    </row>
    <row r="694" ht="30.0" customHeight="1">
      <c r="A694" s="5"/>
    </row>
    <row r="695" ht="30.0" customHeight="1">
      <c r="A695" s="5"/>
    </row>
    <row r="696" ht="30.0" customHeight="1">
      <c r="A696" s="5"/>
    </row>
    <row r="697" ht="30.0" customHeight="1">
      <c r="A697" s="5"/>
    </row>
    <row r="698" ht="30.0" customHeight="1">
      <c r="A698" s="5"/>
    </row>
    <row r="699" ht="30.0" customHeight="1">
      <c r="A699" s="5"/>
    </row>
    <row r="700" ht="30.0" customHeight="1">
      <c r="A700" s="5"/>
    </row>
    <row r="701" ht="30.0" customHeight="1">
      <c r="A701" s="5"/>
    </row>
    <row r="702" ht="30.0" customHeight="1">
      <c r="A702" s="5"/>
    </row>
    <row r="703" ht="30.0" customHeight="1">
      <c r="A703" s="5"/>
    </row>
    <row r="704" ht="30.0" customHeight="1">
      <c r="A704" s="5"/>
    </row>
    <row r="705" ht="30.0" customHeight="1">
      <c r="A705" s="5"/>
    </row>
    <row r="706" ht="30.0" customHeight="1">
      <c r="A706" s="5"/>
    </row>
    <row r="707" ht="30.0" customHeight="1">
      <c r="A707" s="5"/>
    </row>
    <row r="708" ht="30.0" customHeight="1">
      <c r="A708" s="5"/>
    </row>
    <row r="709" ht="30.0" customHeight="1">
      <c r="A709" s="5"/>
    </row>
    <row r="710" ht="30.0" customHeight="1">
      <c r="A710" s="5"/>
    </row>
    <row r="711" ht="30.0" customHeight="1">
      <c r="A711" s="5"/>
    </row>
    <row r="712" ht="30.0" customHeight="1">
      <c r="A712" s="5"/>
    </row>
    <row r="713" ht="30.0" customHeight="1">
      <c r="A713" s="5"/>
    </row>
    <row r="714" ht="30.0" customHeight="1">
      <c r="A714" s="5"/>
    </row>
    <row r="715" ht="30.0" customHeight="1">
      <c r="A715" s="5"/>
    </row>
    <row r="716" ht="30.0" customHeight="1">
      <c r="A716" s="5"/>
    </row>
    <row r="717" ht="30.0" customHeight="1">
      <c r="A717" s="5"/>
    </row>
    <row r="718" ht="30.0" customHeight="1">
      <c r="A718" s="5"/>
    </row>
    <row r="719" ht="30.0" customHeight="1">
      <c r="A719" s="5"/>
    </row>
    <row r="720" ht="30.0" customHeight="1">
      <c r="A720" s="5"/>
    </row>
    <row r="721" ht="30.0" customHeight="1">
      <c r="A721" s="5"/>
    </row>
    <row r="722" ht="30.0" customHeight="1">
      <c r="A722" s="5"/>
    </row>
    <row r="723" ht="30.0" customHeight="1">
      <c r="A723" s="5"/>
    </row>
    <row r="724" ht="30.0" customHeight="1">
      <c r="A724" s="5"/>
    </row>
    <row r="725" ht="30.0" customHeight="1">
      <c r="A725" s="5"/>
    </row>
    <row r="726" ht="30.0" customHeight="1">
      <c r="A726" s="5"/>
    </row>
    <row r="727" ht="30.0" customHeight="1">
      <c r="A727" s="5"/>
    </row>
    <row r="728" ht="30.0" customHeight="1">
      <c r="A728" s="5"/>
    </row>
    <row r="729" ht="30.0" customHeight="1">
      <c r="A729" s="5"/>
    </row>
    <row r="730" ht="30.0" customHeight="1">
      <c r="A730" s="5"/>
    </row>
    <row r="731" ht="30.0" customHeight="1">
      <c r="A731" s="5"/>
    </row>
    <row r="732" ht="30.0" customHeight="1">
      <c r="A732" s="5"/>
    </row>
    <row r="733" ht="30.0" customHeight="1">
      <c r="A733" s="5"/>
    </row>
    <row r="734" ht="30.0" customHeight="1">
      <c r="A734" s="5"/>
    </row>
    <row r="735" ht="30.0" customHeight="1">
      <c r="A735" s="5"/>
    </row>
    <row r="736" ht="30.0" customHeight="1">
      <c r="A736" s="5"/>
    </row>
    <row r="737" ht="30.0" customHeight="1">
      <c r="A737" s="5"/>
    </row>
    <row r="738" ht="30.0" customHeight="1">
      <c r="A738" s="5"/>
    </row>
    <row r="739" ht="30.0" customHeight="1">
      <c r="A739" s="5"/>
    </row>
    <row r="740" ht="30.0" customHeight="1">
      <c r="A740" s="5"/>
    </row>
    <row r="741" ht="30.0" customHeight="1">
      <c r="A741" s="5"/>
    </row>
    <row r="742" ht="30.0" customHeight="1">
      <c r="A742" s="5"/>
    </row>
    <row r="743" ht="30.0" customHeight="1">
      <c r="A743" s="5"/>
    </row>
    <row r="744" ht="30.0" customHeight="1">
      <c r="A744" s="5"/>
    </row>
    <row r="745" ht="30.0" customHeight="1">
      <c r="A745" s="5"/>
    </row>
    <row r="746" ht="30.0" customHeight="1">
      <c r="A746" s="5"/>
    </row>
    <row r="747" ht="30.0" customHeight="1">
      <c r="A747" s="5"/>
    </row>
    <row r="748" ht="30.0" customHeight="1">
      <c r="A748" s="5"/>
    </row>
    <row r="749" ht="30.0" customHeight="1">
      <c r="A749" s="5"/>
    </row>
    <row r="750" ht="30.0" customHeight="1">
      <c r="A750" s="5"/>
    </row>
    <row r="751" ht="30.0" customHeight="1">
      <c r="A751" s="5"/>
    </row>
    <row r="752" ht="30.0" customHeight="1">
      <c r="A752" s="5"/>
    </row>
    <row r="753" ht="30.0" customHeight="1">
      <c r="A753" s="5"/>
    </row>
    <row r="754" ht="30.0" customHeight="1">
      <c r="A754" s="5"/>
    </row>
    <row r="755" ht="30.0" customHeight="1">
      <c r="A755" s="5"/>
    </row>
    <row r="756" ht="30.0" customHeight="1">
      <c r="A756" s="5"/>
    </row>
    <row r="757" ht="30.0" customHeight="1">
      <c r="A757" s="5"/>
    </row>
    <row r="758" ht="30.0" customHeight="1">
      <c r="A758" s="5"/>
    </row>
    <row r="759" ht="30.0" customHeight="1">
      <c r="A759" s="5"/>
    </row>
    <row r="760" ht="30.0" customHeight="1">
      <c r="A760" s="5"/>
    </row>
    <row r="761" ht="30.0" customHeight="1">
      <c r="A761" s="5"/>
    </row>
    <row r="762" ht="30.0" customHeight="1">
      <c r="A762" s="5"/>
    </row>
    <row r="763" ht="30.0" customHeight="1">
      <c r="A763" s="5"/>
    </row>
    <row r="764" ht="30.0" customHeight="1">
      <c r="A764" s="5"/>
    </row>
    <row r="765" ht="30.0" customHeight="1">
      <c r="A765" s="5"/>
    </row>
    <row r="766" ht="30.0" customHeight="1">
      <c r="A766" s="5"/>
    </row>
    <row r="767" ht="30.0" customHeight="1">
      <c r="A767" s="5"/>
    </row>
    <row r="768" ht="30.0" customHeight="1">
      <c r="A768" s="5"/>
    </row>
    <row r="769" ht="30.0" customHeight="1">
      <c r="A769" s="5"/>
    </row>
    <row r="770" ht="30.0" customHeight="1">
      <c r="A770" s="5"/>
    </row>
    <row r="771" ht="30.0" customHeight="1">
      <c r="A771" s="5"/>
    </row>
    <row r="772" ht="30.0" customHeight="1">
      <c r="A772" s="5"/>
    </row>
    <row r="773" ht="30.0" customHeight="1">
      <c r="A773" s="5"/>
    </row>
    <row r="774" ht="30.0" customHeight="1">
      <c r="A774" s="5"/>
    </row>
    <row r="775" ht="30.0" customHeight="1">
      <c r="A775" s="5"/>
    </row>
    <row r="776" ht="30.0" customHeight="1">
      <c r="A776" s="5"/>
    </row>
    <row r="777" ht="30.0" customHeight="1">
      <c r="A777" s="5"/>
    </row>
    <row r="778" ht="30.0" customHeight="1">
      <c r="A778" s="5"/>
    </row>
    <row r="779" ht="30.0" customHeight="1">
      <c r="A779" s="5"/>
    </row>
    <row r="780" ht="30.0" customHeight="1">
      <c r="A780" s="5"/>
    </row>
    <row r="781" ht="30.0" customHeight="1">
      <c r="A781" s="5"/>
    </row>
    <row r="782" ht="30.0" customHeight="1">
      <c r="A782" s="5"/>
    </row>
    <row r="783" ht="30.0" customHeight="1">
      <c r="A783" s="5"/>
    </row>
    <row r="784" ht="30.0" customHeight="1">
      <c r="A784" s="5"/>
    </row>
    <row r="785" ht="30.0" customHeight="1">
      <c r="A785" s="5"/>
    </row>
    <row r="786" ht="30.0" customHeight="1">
      <c r="A786" s="5"/>
    </row>
    <row r="787" ht="30.0" customHeight="1">
      <c r="A787" s="5"/>
    </row>
    <row r="788" ht="30.0" customHeight="1">
      <c r="A788" s="5"/>
    </row>
    <row r="789" ht="30.0" customHeight="1">
      <c r="A789" s="5"/>
    </row>
    <row r="790" ht="30.0" customHeight="1">
      <c r="A790" s="5"/>
    </row>
    <row r="791" ht="30.0" customHeight="1">
      <c r="A791" s="5"/>
    </row>
    <row r="792" ht="30.0" customHeight="1">
      <c r="A792" s="5"/>
    </row>
    <row r="793" ht="30.0" customHeight="1">
      <c r="A793" s="5"/>
    </row>
    <row r="794" ht="30.0" customHeight="1">
      <c r="A794" s="5"/>
    </row>
    <row r="795" ht="30.0" customHeight="1">
      <c r="A795" s="5"/>
    </row>
    <row r="796" ht="30.0" customHeight="1">
      <c r="A796" s="5"/>
    </row>
    <row r="797" ht="30.0" customHeight="1">
      <c r="A797" s="5"/>
    </row>
    <row r="798" ht="30.0" customHeight="1">
      <c r="A798" s="5"/>
    </row>
    <row r="799" ht="30.0" customHeight="1">
      <c r="A799" s="5"/>
    </row>
    <row r="800" ht="30.0" customHeight="1">
      <c r="A800" s="5"/>
    </row>
    <row r="801" ht="30.0" customHeight="1">
      <c r="A801" s="5"/>
    </row>
    <row r="802" ht="30.0" customHeight="1">
      <c r="A802" s="5"/>
    </row>
    <row r="803" ht="30.0" customHeight="1">
      <c r="A803" s="5"/>
    </row>
    <row r="804" ht="30.0" customHeight="1">
      <c r="A804" s="5"/>
    </row>
    <row r="805" ht="30.0" customHeight="1">
      <c r="A805" s="5"/>
    </row>
    <row r="806" ht="30.0" customHeight="1">
      <c r="A806" s="5"/>
    </row>
    <row r="807" ht="30.0" customHeight="1">
      <c r="A807" s="5"/>
    </row>
    <row r="808" ht="30.0" customHeight="1">
      <c r="A808" s="5"/>
    </row>
    <row r="809" ht="30.0" customHeight="1">
      <c r="A809" s="5"/>
    </row>
    <row r="810" ht="30.0" customHeight="1">
      <c r="A810" s="5"/>
    </row>
    <row r="811" ht="30.0" customHeight="1">
      <c r="A811" s="5"/>
    </row>
    <row r="812" ht="30.0" customHeight="1">
      <c r="A812" s="5"/>
    </row>
    <row r="813" ht="30.0" customHeight="1">
      <c r="A813" s="5"/>
    </row>
    <row r="814" ht="30.0" customHeight="1">
      <c r="A814" s="5"/>
    </row>
    <row r="815" ht="30.0" customHeight="1">
      <c r="A815" s="5"/>
    </row>
    <row r="816" ht="30.0" customHeight="1">
      <c r="A816" s="5"/>
    </row>
    <row r="817" ht="30.0" customHeight="1">
      <c r="A817" s="5"/>
    </row>
    <row r="818" ht="30.0" customHeight="1">
      <c r="A818" s="5"/>
    </row>
    <row r="819" ht="30.0" customHeight="1">
      <c r="A819" s="5"/>
    </row>
    <row r="820" ht="30.0" customHeight="1">
      <c r="A820" s="5"/>
    </row>
    <row r="821" ht="30.0" customHeight="1">
      <c r="A821" s="5"/>
    </row>
    <row r="822" ht="30.0" customHeight="1">
      <c r="A822" s="5"/>
    </row>
    <row r="823" ht="30.0" customHeight="1">
      <c r="A823" s="5"/>
    </row>
    <row r="824" ht="30.0" customHeight="1">
      <c r="A824" s="5"/>
    </row>
    <row r="825" ht="30.0" customHeight="1">
      <c r="A825" s="5"/>
    </row>
    <row r="826" ht="30.0" customHeight="1">
      <c r="A826" s="5"/>
    </row>
    <row r="827" ht="30.0" customHeight="1">
      <c r="A827" s="5"/>
    </row>
    <row r="828" ht="30.0" customHeight="1">
      <c r="A828" s="5"/>
    </row>
    <row r="829" ht="30.0" customHeight="1">
      <c r="A829" s="5"/>
    </row>
    <row r="830" ht="30.0" customHeight="1">
      <c r="A830" s="5"/>
    </row>
    <row r="831" ht="30.0" customHeight="1">
      <c r="A831" s="5"/>
    </row>
    <row r="832" ht="30.0" customHeight="1">
      <c r="A832" s="5"/>
    </row>
    <row r="833" ht="30.0" customHeight="1">
      <c r="A833" s="5"/>
    </row>
    <row r="834" ht="30.0" customHeight="1">
      <c r="A834" s="5"/>
    </row>
    <row r="835" ht="30.0" customHeight="1">
      <c r="A835" s="5"/>
    </row>
    <row r="836" ht="30.0" customHeight="1">
      <c r="A836" s="5"/>
    </row>
    <row r="837" ht="30.0" customHeight="1">
      <c r="A837" s="5"/>
    </row>
    <row r="838" ht="30.0" customHeight="1">
      <c r="A838" s="5"/>
    </row>
    <row r="839" ht="30.0" customHeight="1">
      <c r="A839" s="5"/>
    </row>
    <row r="840" ht="30.0" customHeight="1">
      <c r="A840" s="5"/>
    </row>
    <row r="841" ht="30.0" customHeight="1">
      <c r="A841" s="5"/>
    </row>
    <row r="842" ht="30.0" customHeight="1">
      <c r="A842" s="5"/>
    </row>
    <row r="843" ht="30.0" customHeight="1">
      <c r="A843" s="5"/>
    </row>
    <row r="844" ht="30.0" customHeight="1">
      <c r="A844" s="5"/>
    </row>
    <row r="845" ht="30.0" customHeight="1">
      <c r="A845" s="5"/>
    </row>
    <row r="846" ht="30.0" customHeight="1">
      <c r="A846" s="5"/>
    </row>
    <row r="847" ht="30.0" customHeight="1">
      <c r="A847" s="5"/>
    </row>
    <row r="848" ht="30.0" customHeight="1">
      <c r="A848" s="5"/>
    </row>
    <row r="849" ht="30.0" customHeight="1">
      <c r="A849" s="5"/>
    </row>
    <row r="850" ht="30.0" customHeight="1">
      <c r="A850" s="5"/>
    </row>
    <row r="851" ht="30.0" customHeight="1">
      <c r="A851" s="5"/>
    </row>
    <row r="852" ht="30.0" customHeight="1">
      <c r="A852" s="5"/>
    </row>
    <row r="853" ht="30.0" customHeight="1">
      <c r="A853" s="5"/>
    </row>
    <row r="854" ht="30.0" customHeight="1">
      <c r="A854" s="5"/>
    </row>
    <row r="855" ht="30.0" customHeight="1">
      <c r="A855" s="5"/>
    </row>
    <row r="856" ht="30.0" customHeight="1">
      <c r="A856" s="5"/>
    </row>
    <row r="857" ht="30.0" customHeight="1">
      <c r="A857" s="5"/>
    </row>
    <row r="858" ht="30.0" customHeight="1">
      <c r="A858" s="5"/>
    </row>
    <row r="859" ht="30.0" customHeight="1">
      <c r="A859" s="5"/>
    </row>
    <row r="860" ht="30.0" customHeight="1">
      <c r="A860" s="5"/>
    </row>
    <row r="861" ht="30.0" customHeight="1">
      <c r="A861" s="5"/>
    </row>
    <row r="862" ht="30.0" customHeight="1">
      <c r="A862" s="5"/>
    </row>
    <row r="863" ht="30.0" customHeight="1">
      <c r="A863" s="5"/>
    </row>
    <row r="864" ht="30.0" customHeight="1">
      <c r="A864" s="5"/>
    </row>
    <row r="865" ht="30.0" customHeight="1">
      <c r="A865" s="5"/>
    </row>
    <row r="866" ht="30.0" customHeight="1">
      <c r="A866" s="5"/>
    </row>
    <row r="867" ht="30.0" customHeight="1">
      <c r="A867" s="5"/>
    </row>
    <row r="868" ht="30.0" customHeight="1">
      <c r="A868" s="5"/>
    </row>
    <row r="869" ht="30.0" customHeight="1">
      <c r="A869" s="5"/>
    </row>
    <row r="870" ht="30.0" customHeight="1">
      <c r="A870" s="5"/>
    </row>
    <row r="871" ht="30.0" customHeight="1">
      <c r="A871" s="5"/>
    </row>
    <row r="872" ht="30.0" customHeight="1">
      <c r="A872" s="5"/>
    </row>
    <row r="873" ht="30.0" customHeight="1">
      <c r="A873" s="5"/>
    </row>
    <row r="874" ht="30.0" customHeight="1">
      <c r="A874" s="5"/>
    </row>
    <row r="875" ht="30.0" customHeight="1">
      <c r="A875" s="5"/>
    </row>
    <row r="876" ht="30.0" customHeight="1">
      <c r="A876" s="5"/>
    </row>
    <row r="877" ht="30.0" customHeight="1">
      <c r="A877" s="5"/>
    </row>
    <row r="878" ht="30.0" customHeight="1">
      <c r="A878" s="5"/>
    </row>
    <row r="879" ht="30.0" customHeight="1">
      <c r="A879" s="5"/>
    </row>
    <row r="880" ht="30.0" customHeight="1">
      <c r="A880" s="5"/>
    </row>
    <row r="881" ht="30.0" customHeight="1">
      <c r="A881" s="5"/>
    </row>
    <row r="882" ht="30.0" customHeight="1">
      <c r="A882" s="5"/>
    </row>
    <row r="883" ht="30.0" customHeight="1">
      <c r="A883" s="5"/>
    </row>
    <row r="884" ht="30.0" customHeight="1">
      <c r="A884" s="5"/>
    </row>
    <row r="885" ht="30.0" customHeight="1">
      <c r="A885" s="5"/>
    </row>
    <row r="886" ht="30.0" customHeight="1">
      <c r="A886" s="5"/>
    </row>
    <row r="887" ht="30.0" customHeight="1">
      <c r="A887" s="5"/>
    </row>
    <row r="888" ht="30.0" customHeight="1">
      <c r="A888" s="5"/>
    </row>
    <row r="889" ht="30.0" customHeight="1">
      <c r="A889" s="5"/>
    </row>
    <row r="890" ht="30.0" customHeight="1">
      <c r="A890" s="5"/>
    </row>
    <row r="891" ht="30.0" customHeight="1">
      <c r="A891" s="5"/>
    </row>
    <row r="892" ht="30.0" customHeight="1">
      <c r="A892" s="5"/>
    </row>
    <row r="893" ht="30.0" customHeight="1">
      <c r="A893" s="5"/>
    </row>
    <row r="894" ht="30.0" customHeight="1">
      <c r="A894" s="5"/>
    </row>
    <row r="895" ht="30.0" customHeight="1">
      <c r="A895" s="5"/>
    </row>
    <row r="896" ht="30.0" customHeight="1">
      <c r="A896" s="5"/>
    </row>
    <row r="897" ht="30.0" customHeight="1">
      <c r="A897" s="5"/>
    </row>
    <row r="898" ht="30.0" customHeight="1">
      <c r="A898" s="5"/>
    </row>
    <row r="899" ht="30.0" customHeight="1">
      <c r="A899" s="5"/>
    </row>
    <row r="900" ht="30.0" customHeight="1">
      <c r="A900" s="5"/>
    </row>
    <row r="901" ht="30.0" customHeight="1">
      <c r="A901" s="5"/>
    </row>
    <row r="902" ht="30.0" customHeight="1">
      <c r="A902" s="5"/>
    </row>
    <row r="903" ht="30.0" customHeight="1">
      <c r="A903" s="5"/>
    </row>
    <row r="904" ht="30.0" customHeight="1">
      <c r="A904" s="5"/>
    </row>
    <row r="905" ht="30.0" customHeight="1">
      <c r="A905" s="5"/>
    </row>
    <row r="906" ht="30.0" customHeight="1">
      <c r="A906" s="5"/>
    </row>
    <row r="907" ht="30.0" customHeight="1">
      <c r="A907" s="5"/>
    </row>
    <row r="908" ht="30.0" customHeight="1">
      <c r="A908" s="5"/>
    </row>
    <row r="909" ht="30.0" customHeight="1">
      <c r="A909" s="5"/>
    </row>
    <row r="910" ht="30.0" customHeight="1">
      <c r="A910" s="5"/>
    </row>
    <row r="911" ht="30.0" customHeight="1">
      <c r="A911" s="5"/>
    </row>
    <row r="912" ht="30.0" customHeight="1">
      <c r="A912" s="5"/>
    </row>
    <row r="913" ht="30.0" customHeight="1">
      <c r="A913" s="5"/>
    </row>
    <row r="914" ht="30.0" customHeight="1">
      <c r="A914" s="5"/>
    </row>
    <row r="915" ht="30.0" customHeight="1">
      <c r="A915" s="5"/>
    </row>
    <row r="916" ht="30.0" customHeight="1">
      <c r="A916" s="5"/>
    </row>
    <row r="917" ht="30.0" customHeight="1">
      <c r="A917" s="5"/>
    </row>
    <row r="918" ht="30.0" customHeight="1">
      <c r="A918" s="5"/>
    </row>
    <row r="919" ht="30.0" customHeight="1">
      <c r="A919" s="5"/>
    </row>
    <row r="920" ht="30.0" customHeight="1">
      <c r="A920" s="5"/>
    </row>
    <row r="921" ht="30.0" customHeight="1">
      <c r="A921" s="5"/>
    </row>
    <row r="922" ht="30.0" customHeight="1">
      <c r="A922" s="5"/>
    </row>
    <row r="923" ht="30.0" customHeight="1">
      <c r="A923" s="5"/>
    </row>
    <row r="924" ht="30.0" customHeight="1">
      <c r="A924" s="5"/>
    </row>
    <row r="925" ht="30.0" customHeight="1">
      <c r="A925" s="5"/>
    </row>
    <row r="926" ht="30.0" customHeight="1">
      <c r="A926" s="5"/>
    </row>
    <row r="927" ht="30.0" customHeight="1">
      <c r="A927" s="5"/>
    </row>
    <row r="928" ht="30.0" customHeight="1">
      <c r="A928" s="5"/>
    </row>
    <row r="929" ht="30.0" customHeight="1">
      <c r="A929" s="5"/>
    </row>
    <row r="930" ht="30.0" customHeight="1">
      <c r="A930" s="5"/>
    </row>
    <row r="931" ht="30.0" customHeight="1">
      <c r="A931" s="5"/>
    </row>
    <row r="932" ht="30.0" customHeight="1">
      <c r="A932" s="5"/>
    </row>
    <row r="933" ht="30.0" customHeight="1">
      <c r="A933" s="5"/>
    </row>
    <row r="934" ht="30.0" customHeight="1">
      <c r="A934" s="5"/>
    </row>
    <row r="935" ht="30.0" customHeight="1">
      <c r="A935" s="5"/>
    </row>
    <row r="936" ht="30.0" customHeight="1">
      <c r="A936" s="5"/>
    </row>
    <row r="937" ht="30.0" customHeight="1">
      <c r="A937" s="5"/>
    </row>
    <row r="938" ht="30.0" customHeight="1">
      <c r="A938" s="5"/>
    </row>
    <row r="939" ht="30.0" customHeight="1">
      <c r="A939" s="5"/>
    </row>
    <row r="940" ht="30.0" customHeight="1">
      <c r="A940" s="5"/>
    </row>
    <row r="941" ht="30.0" customHeight="1">
      <c r="A941" s="5"/>
    </row>
    <row r="942" ht="30.0" customHeight="1">
      <c r="A942" s="5"/>
    </row>
    <row r="943" ht="30.0" customHeight="1">
      <c r="A943" s="5"/>
    </row>
    <row r="944" ht="30.0" customHeight="1">
      <c r="A944" s="5"/>
    </row>
    <row r="945" ht="30.0" customHeight="1">
      <c r="A945" s="5"/>
    </row>
    <row r="946" ht="30.0" customHeight="1">
      <c r="A946" s="5"/>
    </row>
    <row r="947" ht="30.0" customHeight="1">
      <c r="A947" s="5"/>
    </row>
    <row r="948" ht="30.0" customHeight="1">
      <c r="A948" s="5"/>
    </row>
    <row r="949" ht="30.0" customHeight="1">
      <c r="A949" s="5"/>
    </row>
    <row r="950" ht="30.0" customHeight="1">
      <c r="A950" s="5"/>
    </row>
    <row r="951" ht="30.0" customHeight="1">
      <c r="A951" s="5"/>
    </row>
    <row r="952" ht="30.0" customHeight="1">
      <c r="A952" s="5"/>
    </row>
    <row r="953" ht="30.0" customHeight="1">
      <c r="A953" s="5"/>
    </row>
    <row r="954" ht="30.0" customHeight="1">
      <c r="A954" s="5"/>
    </row>
    <row r="955" ht="30.0" customHeight="1">
      <c r="A955" s="5"/>
    </row>
    <row r="956" ht="30.0" customHeight="1">
      <c r="A956" s="5"/>
    </row>
    <row r="957" ht="30.0" customHeight="1">
      <c r="A957" s="5"/>
    </row>
    <row r="958" ht="30.0" customHeight="1">
      <c r="A958" s="5"/>
    </row>
    <row r="959" ht="30.0" customHeight="1">
      <c r="A959" s="5"/>
    </row>
    <row r="960" ht="30.0" customHeight="1">
      <c r="A960" s="5"/>
    </row>
    <row r="961" ht="30.0" customHeight="1">
      <c r="A961" s="5"/>
    </row>
    <row r="962" ht="30.0" customHeight="1">
      <c r="A962" s="5"/>
    </row>
    <row r="963" ht="30.0" customHeight="1">
      <c r="A963" s="5"/>
    </row>
    <row r="964" ht="30.0" customHeight="1">
      <c r="A964" s="5"/>
    </row>
    <row r="965" ht="30.0" customHeight="1">
      <c r="A965" s="5"/>
    </row>
    <row r="966" ht="30.0" customHeight="1">
      <c r="A966" s="5"/>
    </row>
    <row r="967" ht="30.0" customHeight="1">
      <c r="A967" s="5"/>
    </row>
    <row r="968" ht="30.0" customHeight="1">
      <c r="A968" s="5"/>
    </row>
    <row r="969" ht="30.0" customHeight="1">
      <c r="A969" s="5"/>
    </row>
    <row r="970" ht="30.0" customHeight="1">
      <c r="A970" s="5"/>
    </row>
    <row r="971" ht="30.0" customHeight="1">
      <c r="A971" s="5"/>
    </row>
    <row r="972" ht="30.0" customHeight="1">
      <c r="A972" s="5"/>
    </row>
    <row r="973" ht="30.0" customHeight="1">
      <c r="A973" s="5"/>
    </row>
    <row r="974" ht="30.0" customHeight="1">
      <c r="A974" s="5"/>
    </row>
    <row r="975" ht="30.0" customHeight="1">
      <c r="A975" s="5"/>
    </row>
    <row r="976" ht="30.0" customHeight="1">
      <c r="A976" s="5"/>
    </row>
    <row r="977" ht="30.0" customHeight="1">
      <c r="A977" s="5"/>
    </row>
    <row r="978" ht="30.0" customHeight="1">
      <c r="A978" s="5"/>
    </row>
    <row r="979" ht="30.0" customHeight="1">
      <c r="A979" s="5"/>
    </row>
    <row r="980" ht="30.0" customHeight="1">
      <c r="A980" s="5"/>
    </row>
    <row r="981" ht="30.0" customHeight="1">
      <c r="A981" s="5"/>
    </row>
    <row r="982" ht="30.0" customHeight="1">
      <c r="A982" s="5"/>
    </row>
    <row r="983" ht="30.0" customHeight="1">
      <c r="A983" s="5"/>
    </row>
    <row r="984" ht="30.0" customHeight="1">
      <c r="A984" s="5"/>
    </row>
    <row r="985" ht="30.0" customHeight="1">
      <c r="A985" s="5"/>
    </row>
    <row r="986" ht="30.0" customHeight="1">
      <c r="A986" s="5"/>
    </row>
    <row r="987" ht="30.0" customHeight="1">
      <c r="A987" s="5"/>
    </row>
    <row r="988" ht="30.0" customHeight="1">
      <c r="A988" s="5"/>
    </row>
    <row r="989" ht="30.0" customHeight="1">
      <c r="A989" s="5"/>
    </row>
    <row r="990" ht="30.0" customHeight="1">
      <c r="A990" s="5"/>
    </row>
    <row r="991" ht="30.0" customHeight="1">
      <c r="A991" s="5"/>
    </row>
    <row r="992" ht="30.0" customHeight="1">
      <c r="A992" s="5"/>
    </row>
    <row r="993" ht="30.0" customHeight="1">
      <c r="A993" s="5"/>
    </row>
    <row r="994" ht="30.0" customHeight="1">
      <c r="A994" s="5"/>
    </row>
    <row r="995" ht="30.0" customHeight="1">
      <c r="A995" s="5"/>
    </row>
    <row r="996" ht="30.0" customHeight="1">
      <c r="A996" s="5"/>
    </row>
    <row r="997" ht="30.0" customHeight="1">
      <c r="A997" s="5"/>
    </row>
    <row r="998" ht="30.0" customHeight="1">
      <c r="A998" s="5"/>
    </row>
    <row r="999" ht="30.0" customHeight="1">
      <c r="A999" s="5"/>
    </row>
    <row r="1000" ht="30.0" customHeight="1">
      <c r="A1000" s="5"/>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A1" s="6" t="s">
        <v>16</v>
      </c>
      <c r="B1" s="6" t="s">
        <v>17</v>
      </c>
      <c r="C1" s="6" t="s">
        <v>18</v>
      </c>
    </row>
    <row r="2" ht="14.25" customHeight="1">
      <c r="A2" s="6" t="s">
        <v>19</v>
      </c>
      <c r="B2" s="6">
        <v>30.0</v>
      </c>
      <c r="C2" s="6">
        <v>20.0</v>
      </c>
    </row>
    <row r="3" ht="14.25" customHeight="1">
      <c r="A3" s="6" t="s">
        <v>20</v>
      </c>
      <c r="B3" s="6">
        <v>40.0</v>
      </c>
      <c r="C3" s="6">
        <v>40.0</v>
      </c>
    </row>
    <row r="4" ht="14.25" customHeight="1">
      <c r="A4" s="6" t="s">
        <v>21</v>
      </c>
      <c r="B4" s="6">
        <v>20.0</v>
      </c>
      <c r="C4" s="6">
        <v>20.0</v>
      </c>
    </row>
    <row r="5" ht="14.25" customHeight="1">
      <c r="A5" s="6" t="s">
        <v>22</v>
      </c>
      <c r="B5" s="6">
        <v>40.0</v>
      </c>
      <c r="C5" s="6">
        <v>10.0</v>
      </c>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8.71"/>
    <col customWidth="1" min="6" max="6" width="10.43"/>
    <col customWidth="1" min="7" max="8" width="8.71"/>
    <col customWidth="1" min="9" max="9" width="13.86"/>
    <col customWidth="1" min="10" max="26" width="8.71"/>
  </cols>
  <sheetData>
    <row r="1" ht="14.25" customHeight="1">
      <c r="A1" s="6" t="s">
        <v>16</v>
      </c>
      <c r="B1" s="6" t="s">
        <v>17</v>
      </c>
      <c r="C1" s="6" t="s">
        <v>18</v>
      </c>
    </row>
    <row r="2" ht="14.25" customHeight="1">
      <c r="A2" s="6" t="s">
        <v>19</v>
      </c>
      <c r="B2" s="6">
        <v>30.0</v>
      </c>
      <c r="C2" s="6">
        <v>20.0</v>
      </c>
    </row>
    <row r="3" ht="14.25" customHeight="1">
      <c r="A3" s="6" t="s">
        <v>20</v>
      </c>
      <c r="B3" s="6">
        <v>40.0</v>
      </c>
      <c r="C3" s="6">
        <v>40.0</v>
      </c>
    </row>
    <row r="4" ht="14.25" customHeight="1">
      <c r="A4" s="6" t="s">
        <v>21</v>
      </c>
      <c r="B4" s="6">
        <v>20.0</v>
      </c>
      <c r="C4" s="6">
        <v>20.0</v>
      </c>
      <c r="F4" s="7" t="s">
        <v>23</v>
      </c>
    </row>
    <row r="5" ht="14.25" customHeight="1">
      <c r="A5" s="6" t="s">
        <v>22</v>
      </c>
      <c r="B5" s="6">
        <v>40.0</v>
      </c>
      <c r="C5" s="6">
        <v>10.0</v>
      </c>
    </row>
    <row r="6" ht="14.25" customHeight="1">
      <c r="F6" s="8" t="s">
        <v>24</v>
      </c>
      <c r="H6" s="9" t="b">
        <f t="array" ref="H6">IF('If statements'!$F$7&gt;75,TRUE)</f>
        <v>1</v>
      </c>
      <c r="I6" s="6" t="s">
        <v>25</v>
      </c>
    </row>
    <row r="7" ht="14.25" customHeight="1">
      <c r="F7" s="10">
        <v>80.0</v>
      </c>
      <c r="H7" s="6" t="str">
        <f>IF(F7&gt;75,"OK")</f>
        <v>OK</v>
      </c>
      <c r="I7" s="6" t="s">
        <v>26</v>
      </c>
    </row>
    <row r="8" ht="14.25" customHeight="1">
      <c r="H8" s="6" t="b">
        <f>IF(B5&gt;85,"OK")</f>
        <v>0</v>
      </c>
      <c r="I8" s="6" t="s">
        <v>27</v>
      </c>
    </row>
    <row r="9" ht="14.25" customHeight="1">
      <c r="H9" s="6">
        <f>IF(F7&gt;75,10,0)</f>
        <v>10</v>
      </c>
      <c r="I9" s="6" t="s">
        <v>28</v>
      </c>
    </row>
    <row r="10" ht="14.25" customHeight="1">
      <c r="H10" s="6">
        <f>IF(F7&gt;85,10,0)</f>
        <v>0</v>
      </c>
      <c r="I10" s="6" t="s">
        <v>29</v>
      </c>
    </row>
    <row r="11" ht="14.25" customHeight="1">
      <c r="H11" s="6" t="str">
        <f>IF(B5&gt;75,"Yes","No")</f>
        <v>No</v>
      </c>
      <c r="I11" s="6" t="s">
        <v>30</v>
      </c>
    </row>
    <row r="12" ht="14.25" customHeight="1">
      <c r="H12" s="6" t="str">
        <f>IF(B5&gt;85,"Yes","No")</f>
        <v>No</v>
      </c>
      <c r="I12" s="6" t="s">
        <v>31</v>
      </c>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0"/>
    <col customWidth="1" min="2" max="2" width="11.14"/>
    <col customWidth="1" min="3" max="3" width="18.57"/>
    <col customWidth="1" min="4" max="26" width="8.71"/>
  </cols>
  <sheetData>
    <row r="1" ht="28.5" customHeight="1">
      <c r="A1" s="11" t="s">
        <v>32</v>
      </c>
    </row>
    <row r="2" ht="10.5" customHeight="1"/>
    <row r="3" ht="35.25" customHeight="1">
      <c r="A3" s="12" t="s">
        <v>33</v>
      </c>
    </row>
    <row r="4" ht="27.75" customHeight="1">
      <c r="A4" s="13" t="s">
        <v>34</v>
      </c>
    </row>
    <row r="5" ht="48.0" customHeight="1">
      <c r="A5" s="14" t="s">
        <v>35</v>
      </c>
    </row>
    <row r="6" ht="19.5" customHeight="1"/>
    <row r="7" ht="19.5" customHeight="1">
      <c r="A7" s="15"/>
    </row>
    <row r="8" ht="19.5" customHeight="1">
      <c r="A8" s="16" t="s">
        <v>36</v>
      </c>
      <c r="B8" s="17"/>
      <c r="C8" s="18"/>
      <c r="D8" s="18"/>
      <c r="E8" s="18"/>
      <c r="F8" s="18"/>
      <c r="G8" s="18"/>
      <c r="H8" s="18"/>
      <c r="I8" s="18"/>
      <c r="J8" s="18"/>
      <c r="K8" s="18"/>
      <c r="L8" s="18"/>
      <c r="M8" s="18"/>
      <c r="N8" s="18"/>
      <c r="O8" s="18"/>
      <c r="P8" s="18"/>
      <c r="Q8" s="18"/>
      <c r="R8" s="18"/>
      <c r="S8" s="18"/>
      <c r="T8" s="18"/>
      <c r="U8" s="18"/>
      <c r="V8" s="18"/>
      <c r="W8" s="18"/>
      <c r="X8" s="18"/>
      <c r="Y8" s="18"/>
    </row>
    <row r="9" ht="19.5" customHeight="1">
      <c r="A9" s="19" t="s">
        <v>37</v>
      </c>
      <c r="B9" s="17"/>
      <c r="C9" s="18"/>
      <c r="D9" s="18"/>
      <c r="E9" s="18"/>
      <c r="F9" s="18"/>
      <c r="G9" s="18"/>
      <c r="H9" s="18"/>
      <c r="I9" s="18"/>
      <c r="J9" s="18"/>
      <c r="K9" s="18"/>
      <c r="L9" s="18"/>
      <c r="M9" s="18"/>
      <c r="N9" s="18"/>
      <c r="O9" s="18"/>
      <c r="P9" s="18"/>
      <c r="Q9" s="18"/>
      <c r="R9" s="18"/>
      <c r="S9" s="18"/>
      <c r="T9" s="18"/>
      <c r="U9" s="18"/>
      <c r="V9" s="18"/>
      <c r="W9" s="18"/>
      <c r="X9" s="18"/>
      <c r="Y9" s="18"/>
    </row>
    <row r="10" ht="19.5" customHeight="1">
      <c r="A10" s="19" t="s">
        <v>38</v>
      </c>
      <c r="B10" s="17"/>
      <c r="C10" s="18"/>
      <c r="D10" s="18"/>
      <c r="E10" s="18"/>
      <c r="F10" s="18"/>
      <c r="G10" s="18"/>
      <c r="H10" s="18"/>
      <c r="I10" s="18"/>
      <c r="J10" s="18"/>
      <c r="K10" s="18"/>
      <c r="L10" s="18"/>
      <c r="M10" s="18"/>
      <c r="N10" s="18"/>
      <c r="O10" s="18"/>
      <c r="P10" s="18"/>
      <c r="Q10" s="18"/>
      <c r="R10" s="18"/>
      <c r="S10" s="18"/>
      <c r="T10" s="18"/>
      <c r="U10" s="18"/>
      <c r="V10" s="18"/>
      <c r="W10" s="18"/>
      <c r="X10" s="18"/>
      <c r="Y10" s="18"/>
    </row>
    <row r="11" ht="19.5" customHeight="1">
      <c r="A11" s="20"/>
      <c r="B11" s="20"/>
      <c r="C11" s="20"/>
      <c r="D11" s="18"/>
      <c r="E11" s="18"/>
      <c r="F11" s="18"/>
      <c r="G11" s="18"/>
      <c r="H11" s="18"/>
      <c r="I11" s="18"/>
      <c r="J11" s="18"/>
      <c r="K11" s="18"/>
      <c r="L11" s="18"/>
      <c r="M11" s="18"/>
      <c r="N11" s="18"/>
      <c r="O11" s="18"/>
      <c r="P11" s="18"/>
      <c r="Q11" s="18"/>
      <c r="R11" s="18"/>
      <c r="S11" s="18"/>
      <c r="T11" s="18"/>
      <c r="U11" s="18"/>
      <c r="V11" s="18"/>
      <c r="W11" s="18"/>
      <c r="X11" s="18"/>
      <c r="Y11" s="18"/>
    </row>
    <row r="12" ht="19.5" customHeight="1">
      <c r="A12" s="21"/>
      <c r="B12" s="22" t="s">
        <v>39</v>
      </c>
      <c r="C12" s="22" t="s">
        <v>40</v>
      </c>
      <c r="D12" s="18"/>
      <c r="E12" s="18"/>
      <c r="F12" s="18"/>
      <c r="G12" s="18"/>
      <c r="H12" s="18"/>
      <c r="I12" s="18"/>
      <c r="J12" s="18"/>
      <c r="K12" s="18"/>
      <c r="L12" s="18"/>
      <c r="M12" s="18"/>
      <c r="N12" s="18"/>
      <c r="O12" s="18"/>
      <c r="P12" s="18"/>
      <c r="Q12" s="18"/>
      <c r="R12" s="18"/>
      <c r="S12" s="18"/>
      <c r="T12" s="18"/>
      <c r="U12" s="18"/>
      <c r="V12" s="18"/>
      <c r="W12" s="18"/>
      <c r="X12" s="18"/>
      <c r="Y12" s="18"/>
    </row>
    <row r="13" ht="19.5" customHeight="1">
      <c r="A13" s="19" t="s">
        <v>41</v>
      </c>
      <c r="B13" s="23">
        <v>762325.0</v>
      </c>
      <c r="C13" s="24" t="s">
        <v>36</v>
      </c>
      <c r="D13" s="18"/>
      <c r="E13" s="18"/>
      <c r="F13" s="18"/>
      <c r="G13" s="18"/>
      <c r="H13" s="18"/>
      <c r="I13" s="18"/>
      <c r="J13" s="18"/>
      <c r="K13" s="18"/>
      <c r="L13" s="18"/>
      <c r="M13" s="18"/>
      <c r="N13" s="18"/>
      <c r="O13" s="18"/>
      <c r="P13" s="18"/>
      <c r="Q13" s="18"/>
      <c r="R13" s="18"/>
      <c r="S13" s="18"/>
      <c r="T13" s="18"/>
      <c r="U13" s="18"/>
      <c r="V13" s="18"/>
      <c r="W13" s="18"/>
      <c r="X13" s="18"/>
      <c r="Y13" s="18"/>
    </row>
    <row r="14" ht="19.5" customHeight="1">
      <c r="A14" s="19" t="s">
        <v>42</v>
      </c>
      <c r="B14" s="23">
        <v>245823.0</v>
      </c>
      <c r="C14" s="24" t="s">
        <v>38</v>
      </c>
      <c r="D14" s="18"/>
      <c r="E14" s="18"/>
      <c r="F14" s="18"/>
      <c r="G14" s="18"/>
      <c r="H14" s="18"/>
      <c r="I14" s="18"/>
      <c r="J14" s="18"/>
      <c r="K14" s="18"/>
      <c r="L14" s="18"/>
      <c r="M14" s="18"/>
      <c r="N14" s="18"/>
      <c r="O14" s="18"/>
      <c r="P14" s="18"/>
      <c r="Q14" s="18"/>
      <c r="R14" s="18"/>
      <c r="S14" s="18"/>
      <c r="T14" s="18"/>
      <c r="U14" s="18"/>
      <c r="V14" s="18"/>
      <c r="W14" s="18"/>
      <c r="X14" s="18"/>
      <c r="Y14" s="18"/>
    </row>
    <row r="15" ht="19.5" customHeight="1">
      <c r="A15" s="19" t="s">
        <v>43</v>
      </c>
      <c r="B15" s="23">
        <v>712368.0</v>
      </c>
      <c r="C15" s="24" t="s">
        <v>37</v>
      </c>
      <c r="D15" s="18"/>
      <c r="E15" s="18"/>
      <c r="F15" s="18"/>
      <c r="G15" s="18"/>
      <c r="H15" s="18"/>
      <c r="I15" s="18"/>
      <c r="J15" s="18"/>
      <c r="K15" s="18"/>
      <c r="L15" s="18"/>
      <c r="M15" s="18"/>
      <c r="N15" s="18"/>
      <c r="O15" s="18"/>
      <c r="P15" s="18"/>
      <c r="Q15" s="18"/>
      <c r="R15" s="18"/>
      <c r="S15" s="18"/>
      <c r="T15" s="18"/>
      <c r="U15" s="18"/>
      <c r="V15" s="18"/>
      <c r="W15" s="18"/>
      <c r="X15" s="18"/>
      <c r="Y15" s="18"/>
    </row>
    <row r="16" ht="19.5" customHeight="1">
      <c r="A16" s="19" t="s">
        <v>44</v>
      </c>
      <c r="B16" s="23">
        <v>945447.0</v>
      </c>
      <c r="C16" s="24" t="s">
        <v>36</v>
      </c>
      <c r="D16" s="18"/>
      <c r="E16" s="18"/>
      <c r="F16" s="18"/>
      <c r="G16" s="18"/>
      <c r="H16" s="18"/>
      <c r="I16" s="18"/>
      <c r="J16" s="18"/>
      <c r="K16" s="18"/>
      <c r="L16" s="18"/>
      <c r="M16" s="18"/>
      <c r="N16" s="18"/>
      <c r="O16" s="18"/>
      <c r="P16" s="18"/>
      <c r="Q16" s="18"/>
      <c r="R16" s="18"/>
      <c r="S16" s="18"/>
      <c r="T16" s="18"/>
      <c r="U16" s="18"/>
      <c r="V16" s="18"/>
      <c r="W16" s="18"/>
      <c r="X16" s="18"/>
      <c r="Y16" s="18"/>
    </row>
    <row r="17" ht="19.5" customHeight="1">
      <c r="A17" s="19" t="s">
        <v>45</v>
      </c>
      <c r="B17" s="23">
        <v>704746.0</v>
      </c>
      <c r="C17" s="24" t="s">
        <v>38</v>
      </c>
      <c r="D17" s="18"/>
      <c r="E17" s="18"/>
      <c r="F17" s="18"/>
      <c r="G17" s="18"/>
      <c r="H17" s="18"/>
      <c r="I17" s="18"/>
      <c r="J17" s="18"/>
      <c r="K17" s="18"/>
      <c r="L17" s="18"/>
      <c r="M17" s="18"/>
      <c r="N17" s="18"/>
      <c r="O17" s="18"/>
      <c r="P17" s="18"/>
      <c r="Q17" s="18"/>
      <c r="R17" s="18"/>
      <c r="S17" s="18"/>
      <c r="T17" s="18"/>
      <c r="U17" s="18"/>
      <c r="V17" s="18"/>
      <c r="W17" s="18"/>
      <c r="X17" s="18"/>
      <c r="Y17" s="18"/>
    </row>
    <row r="18" ht="19.5" customHeight="1">
      <c r="A18" s="19" t="s">
        <v>46</v>
      </c>
      <c r="B18" s="23">
        <v>178916.0</v>
      </c>
      <c r="C18" s="24" t="s">
        <v>37</v>
      </c>
      <c r="D18" s="18"/>
      <c r="E18" s="18"/>
      <c r="F18" s="18"/>
      <c r="G18" s="18"/>
      <c r="H18" s="18"/>
      <c r="I18" s="18"/>
      <c r="J18" s="18"/>
      <c r="K18" s="18"/>
      <c r="L18" s="18"/>
      <c r="M18" s="18"/>
      <c r="N18" s="18"/>
      <c r="O18" s="18"/>
      <c r="P18" s="18"/>
      <c r="Q18" s="18"/>
      <c r="R18" s="18"/>
      <c r="S18" s="18"/>
      <c r="T18" s="18"/>
      <c r="U18" s="18"/>
      <c r="V18" s="18"/>
      <c r="W18" s="18"/>
      <c r="X18" s="18"/>
      <c r="Y18" s="18"/>
    </row>
    <row r="19" ht="19.5" customHeight="1">
      <c r="A19" s="19" t="s">
        <v>47</v>
      </c>
      <c r="B19" s="23">
        <v>533664.0</v>
      </c>
      <c r="C19" s="24" t="s">
        <v>38</v>
      </c>
      <c r="D19" s="18"/>
      <c r="E19" s="18"/>
      <c r="F19" s="18"/>
      <c r="G19" s="18"/>
      <c r="H19" s="18"/>
      <c r="I19" s="18"/>
      <c r="J19" s="18"/>
      <c r="K19" s="18"/>
      <c r="L19" s="18"/>
      <c r="M19" s="18"/>
      <c r="N19" s="18"/>
      <c r="O19" s="18"/>
      <c r="P19" s="18"/>
      <c r="Q19" s="18"/>
      <c r="R19" s="18"/>
      <c r="S19" s="18"/>
      <c r="T19" s="18"/>
      <c r="U19" s="18"/>
      <c r="V19" s="18"/>
      <c r="W19" s="18"/>
      <c r="X19" s="18"/>
      <c r="Y19" s="18"/>
    </row>
    <row r="20" ht="19.5" customHeight="1">
      <c r="A20" s="19" t="s">
        <v>48</v>
      </c>
      <c r="B20" s="23">
        <v>402614.0</v>
      </c>
      <c r="C20" s="24" t="s">
        <v>37</v>
      </c>
      <c r="D20" s="18"/>
      <c r="E20" s="18"/>
      <c r="F20" s="18"/>
      <c r="G20" s="18"/>
      <c r="H20" s="18"/>
      <c r="I20" s="18"/>
      <c r="J20" s="18"/>
      <c r="K20" s="18"/>
      <c r="L20" s="18"/>
      <c r="M20" s="18"/>
      <c r="N20" s="18"/>
      <c r="O20" s="18"/>
      <c r="P20" s="18"/>
      <c r="Q20" s="18"/>
      <c r="R20" s="18"/>
      <c r="S20" s="18"/>
      <c r="T20" s="18"/>
      <c r="U20" s="18"/>
      <c r="V20" s="18"/>
      <c r="W20" s="18"/>
      <c r="X20" s="18"/>
      <c r="Y20" s="18"/>
    </row>
    <row r="21" ht="19.5" customHeight="1">
      <c r="A21" s="19" t="s">
        <v>49</v>
      </c>
      <c r="B21" s="23">
        <v>460552.0</v>
      </c>
      <c r="C21" s="24" t="s">
        <v>36</v>
      </c>
      <c r="D21" s="18"/>
      <c r="E21" s="18"/>
      <c r="F21" s="18"/>
      <c r="G21" s="18"/>
      <c r="H21" s="18"/>
      <c r="I21" s="18"/>
      <c r="J21" s="18"/>
      <c r="K21" s="18"/>
      <c r="L21" s="18"/>
      <c r="M21" s="18"/>
      <c r="N21" s="18"/>
      <c r="O21" s="18"/>
      <c r="P21" s="18"/>
      <c r="Q21" s="18"/>
      <c r="R21" s="18"/>
      <c r="S21" s="18"/>
      <c r="T21" s="18"/>
      <c r="U21" s="18"/>
      <c r="V21" s="18"/>
      <c r="W21" s="18"/>
      <c r="X21" s="18"/>
      <c r="Y21" s="18"/>
    </row>
    <row r="22" ht="19.5" customHeight="1">
      <c r="A22" s="19" t="s">
        <v>50</v>
      </c>
      <c r="B22" s="23">
        <v>886805.0</v>
      </c>
      <c r="C22" s="24" t="s">
        <v>38</v>
      </c>
      <c r="D22" s="18"/>
      <c r="E22" s="18"/>
      <c r="F22" s="18"/>
      <c r="G22" s="18"/>
      <c r="H22" s="18"/>
      <c r="I22" s="18"/>
      <c r="J22" s="18"/>
      <c r="K22" s="18"/>
      <c r="L22" s="18"/>
      <c r="M22" s="18"/>
      <c r="N22" s="18"/>
      <c r="O22" s="18"/>
      <c r="P22" s="18"/>
      <c r="Q22" s="18"/>
      <c r="R22" s="18"/>
      <c r="S22" s="18"/>
      <c r="T22" s="18"/>
      <c r="U22" s="18"/>
      <c r="V22" s="18"/>
      <c r="W22" s="18"/>
      <c r="X22" s="18"/>
      <c r="Y22" s="18"/>
    </row>
    <row r="23" ht="19.5" customHeight="1">
      <c r="A23" s="19" t="s">
        <v>51</v>
      </c>
      <c r="B23" s="23">
        <v>336083.0</v>
      </c>
      <c r="C23" s="24" t="s">
        <v>37</v>
      </c>
      <c r="D23" s="18"/>
      <c r="E23" s="18"/>
      <c r="F23" s="18"/>
      <c r="G23" s="18"/>
      <c r="H23" s="18"/>
      <c r="I23" s="18"/>
      <c r="J23" s="18"/>
      <c r="K23" s="18"/>
      <c r="L23" s="18"/>
      <c r="M23" s="18"/>
      <c r="N23" s="18"/>
      <c r="O23" s="18"/>
      <c r="P23" s="18"/>
      <c r="Q23" s="18"/>
      <c r="R23" s="18"/>
      <c r="S23" s="18"/>
      <c r="T23" s="18"/>
      <c r="U23" s="18"/>
      <c r="V23" s="18"/>
      <c r="W23" s="18"/>
      <c r="X23" s="18"/>
      <c r="Y23" s="18"/>
    </row>
    <row r="24" ht="19.5" customHeight="1">
      <c r="A24" s="19" t="s">
        <v>52</v>
      </c>
      <c r="B24" s="23">
        <v>737951.0</v>
      </c>
      <c r="C24" s="24" t="s">
        <v>36</v>
      </c>
      <c r="D24" s="18"/>
      <c r="E24" s="18"/>
      <c r="F24" s="18"/>
      <c r="G24" s="18"/>
      <c r="H24" s="18"/>
      <c r="I24" s="18"/>
      <c r="J24" s="18"/>
      <c r="K24" s="18"/>
      <c r="L24" s="18"/>
      <c r="M24" s="18"/>
      <c r="N24" s="18"/>
      <c r="O24" s="18"/>
      <c r="P24" s="18"/>
      <c r="Q24" s="18"/>
      <c r="R24" s="18"/>
      <c r="S24" s="18"/>
      <c r="T24" s="18"/>
      <c r="U24" s="18"/>
      <c r="V24" s="18"/>
      <c r="W24" s="18"/>
      <c r="X24" s="18"/>
      <c r="Y24" s="18"/>
    </row>
    <row r="25" ht="19.5" customHeight="1">
      <c r="A25" s="19" t="s">
        <v>53</v>
      </c>
      <c r="B25" s="23">
        <v>457519.0</v>
      </c>
      <c r="C25" s="24" t="s">
        <v>38</v>
      </c>
      <c r="D25" s="18"/>
      <c r="E25" s="18"/>
      <c r="F25" s="18"/>
      <c r="G25" s="18"/>
      <c r="H25" s="18"/>
      <c r="I25" s="18"/>
      <c r="J25" s="18"/>
      <c r="K25" s="18"/>
      <c r="L25" s="18"/>
      <c r="M25" s="18"/>
      <c r="N25" s="18"/>
      <c r="O25" s="18"/>
      <c r="P25" s="18"/>
      <c r="Q25" s="18"/>
      <c r="R25" s="18"/>
      <c r="S25" s="18"/>
      <c r="T25" s="18"/>
      <c r="U25" s="18"/>
      <c r="V25" s="18"/>
      <c r="W25" s="18"/>
      <c r="X25" s="18"/>
      <c r="Y25" s="18"/>
    </row>
    <row r="26" ht="19.5" customHeight="1">
      <c r="A26" s="19" t="s">
        <v>54</v>
      </c>
      <c r="B26" s="23">
        <v>196773.0</v>
      </c>
      <c r="C26" s="24" t="s">
        <v>37</v>
      </c>
      <c r="D26" s="18"/>
      <c r="E26" s="18"/>
      <c r="F26" s="18"/>
      <c r="G26" s="18"/>
      <c r="H26" s="18"/>
      <c r="I26" s="18"/>
      <c r="J26" s="18"/>
      <c r="K26" s="18"/>
      <c r="L26" s="18"/>
      <c r="M26" s="18"/>
      <c r="N26" s="18"/>
      <c r="O26" s="18"/>
      <c r="P26" s="18"/>
      <c r="Q26" s="18"/>
      <c r="R26" s="18"/>
      <c r="S26" s="18"/>
      <c r="T26" s="18"/>
      <c r="U26" s="18"/>
      <c r="V26" s="18"/>
      <c r="W26" s="18"/>
      <c r="X26" s="18"/>
      <c r="Y26" s="18"/>
    </row>
    <row r="27" ht="19.5" customHeight="1">
      <c r="A27" s="19" t="s">
        <v>55</v>
      </c>
      <c r="B27" s="23">
        <v>349841.0</v>
      </c>
      <c r="C27" s="24" t="s">
        <v>38</v>
      </c>
      <c r="D27" s="18"/>
      <c r="E27" s="18"/>
      <c r="F27" s="18"/>
      <c r="G27" s="18"/>
      <c r="H27" s="18"/>
      <c r="I27" s="18"/>
      <c r="J27" s="18"/>
      <c r="K27" s="18"/>
      <c r="L27" s="18"/>
      <c r="M27" s="18"/>
      <c r="N27" s="18"/>
      <c r="O27" s="18"/>
      <c r="P27" s="18"/>
      <c r="Q27" s="18"/>
      <c r="R27" s="18"/>
      <c r="S27" s="18"/>
      <c r="T27" s="18"/>
      <c r="U27" s="18"/>
      <c r="V27" s="18"/>
      <c r="W27" s="18"/>
      <c r="X27" s="18"/>
      <c r="Y27" s="18"/>
    </row>
    <row r="28" ht="19.5" customHeight="1">
      <c r="A28" s="19" t="s">
        <v>56</v>
      </c>
      <c r="B28" s="23">
        <v>300433.0</v>
      </c>
      <c r="C28" s="24" t="s">
        <v>36</v>
      </c>
      <c r="D28" s="18"/>
      <c r="E28" s="18"/>
      <c r="F28" s="18"/>
      <c r="G28" s="18"/>
      <c r="H28" s="18"/>
      <c r="I28" s="18"/>
      <c r="J28" s="18"/>
      <c r="K28" s="18"/>
      <c r="L28" s="18"/>
      <c r="M28" s="18"/>
      <c r="N28" s="18"/>
      <c r="O28" s="18"/>
      <c r="P28" s="18"/>
      <c r="Q28" s="18"/>
      <c r="R28" s="18"/>
      <c r="S28" s="18"/>
      <c r="T28" s="18"/>
      <c r="U28" s="18"/>
      <c r="V28" s="18"/>
      <c r="W28" s="18"/>
      <c r="X28" s="18"/>
      <c r="Y28" s="18"/>
    </row>
    <row r="29" ht="19.5" customHeight="1">
      <c r="A29" s="19" t="s">
        <v>57</v>
      </c>
      <c r="B29" s="23">
        <v>850686.0</v>
      </c>
      <c r="C29" s="24" t="s">
        <v>38</v>
      </c>
      <c r="D29" s="18"/>
      <c r="E29" s="18"/>
      <c r="F29" s="18"/>
      <c r="G29" s="18"/>
      <c r="H29" s="18"/>
      <c r="I29" s="18"/>
      <c r="J29" s="18"/>
      <c r="K29" s="18"/>
      <c r="L29" s="18"/>
      <c r="M29" s="18"/>
      <c r="N29" s="18"/>
      <c r="O29" s="18"/>
      <c r="P29" s="18"/>
      <c r="Q29" s="18"/>
      <c r="R29" s="18"/>
      <c r="S29" s="18"/>
      <c r="T29" s="18"/>
      <c r="U29" s="18"/>
      <c r="V29" s="18"/>
      <c r="W29" s="18"/>
      <c r="X29" s="18"/>
      <c r="Y29" s="18"/>
    </row>
    <row r="30" ht="19.5" customHeight="1">
      <c r="A30" s="19" t="s">
        <v>58</v>
      </c>
      <c r="B30" s="23">
        <v>752929.0</v>
      </c>
      <c r="C30" s="24" t="s">
        <v>37</v>
      </c>
      <c r="D30" s="18"/>
      <c r="E30" s="18"/>
      <c r="F30" s="18"/>
      <c r="G30" s="18"/>
      <c r="H30" s="18"/>
      <c r="I30" s="18"/>
      <c r="J30" s="18"/>
      <c r="K30" s="18"/>
      <c r="L30" s="18"/>
      <c r="M30" s="18"/>
      <c r="N30" s="18"/>
      <c r="O30" s="18"/>
      <c r="P30" s="18"/>
      <c r="Q30" s="18"/>
      <c r="R30" s="18"/>
      <c r="S30" s="18"/>
      <c r="T30" s="18"/>
      <c r="U30" s="18"/>
      <c r="V30" s="18"/>
      <c r="W30" s="18"/>
      <c r="X30" s="18"/>
      <c r="Y30" s="18"/>
    </row>
    <row r="31" ht="19.5" customHeight="1">
      <c r="A31" s="19" t="s">
        <v>59</v>
      </c>
      <c r="B31" s="23">
        <v>943214.0</v>
      </c>
      <c r="C31" s="24" t="s">
        <v>38</v>
      </c>
      <c r="D31" s="18"/>
      <c r="E31" s="18"/>
      <c r="F31" s="18"/>
      <c r="G31" s="18"/>
      <c r="H31" s="18"/>
      <c r="I31" s="18"/>
      <c r="J31" s="18"/>
      <c r="K31" s="18"/>
      <c r="L31" s="18"/>
      <c r="M31" s="18"/>
      <c r="N31" s="18"/>
      <c r="O31" s="18"/>
      <c r="P31" s="18"/>
      <c r="Q31" s="18"/>
      <c r="R31" s="18"/>
      <c r="S31" s="18"/>
      <c r="T31" s="18"/>
      <c r="U31" s="18"/>
      <c r="V31" s="18"/>
      <c r="W31" s="18"/>
      <c r="X31" s="18"/>
      <c r="Y31" s="18"/>
    </row>
    <row r="32" ht="19.5" customHeight="1">
      <c r="A32" s="19" t="s">
        <v>60</v>
      </c>
      <c r="B32" s="23">
        <v>156742.0</v>
      </c>
      <c r="C32" s="24" t="s">
        <v>36</v>
      </c>
      <c r="D32" s="18"/>
      <c r="E32" s="18"/>
      <c r="F32" s="18"/>
      <c r="G32" s="18"/>
      <c r="H32" s="18"/>
      <c r="I32" s="18"/>
      <c r="J32" s="18"/>
      <c r="K32" s="18"/>
      <c r="L32" s="18"/>
      <c r="M32" s="18"/>
      <c r="N32" s="18"/>
      <c r="O32" s="18"/>
      <c r="P32" s="18"/>
      <c r="Q32" s="18"/>
      <c r="R32" s="18"/>
      <c r="S32" s="18"/>
      <c r="T32" s="18"/>
      <c r="U32" s="18"/>
      <c r="V32" s="18"/>
      <c r="W32" s="18"/>
      <c r="X32" s="18"/>
      <c r="Y32" s="18"/>
    </row>
    <row r="33" ht="19.5" customHeight="1">
      <c r="A33" s="19" t="s">
        <v>61</v>
      </c>
      <c r="B33" s="23">
        <v>604044.0</v>
      </c>
      <c r="C33" s="24" t="s">
        <v>38</v>
      </c>
      <c r="D33" s="18"/>
      <c r="E33" s="18"/>
      <c r="F33" s="18"/>
      <c r="G33" s="18"/>
      <c r="H33" s="18"/>
      <c r="I33" s="18"/>
      <c r="J33" s="18"/>
      <c r="K33" s="18"/>
      <c r="L33" s="18"/>
      <c r="M33" s="18"/>
      <c r="N33" s="18"/>
      <c r="O33" s="18"/>
      <c r="P33" s="18"/>
      <c r="Q33" s="18"/>
      <c r="R33" s="18"/>
      <c r="S33" s="18"/>
      <c r="T33" s="18"/>
      <c r="U33" s="18"/>
      <c r="V33" s="18"/>
      <c r="W33" s="18"/>
      <c r="X33" s="18"/>
      <c r="Y33" s="18"/>
    </row>
    <row r="34" ht="19.5" customHeight="1">
      <c r="A34" s="19" t="s">
        <v>62</v>
      </c>
      <c r="B34" s="23">
        <v>398462.0</v>
      </c>
      <c r="C34" s="24" t="s">
        <v>37</v>
      </c>
      <c r="D34" s="18"/>
      <c r="E34" s="18"/>
      <c r="F34" s="18"/>
      <c r="G34" s="18"/>
      <c r="H34" s="18"/>
      <c r="I34" s="18"/>
      <c r="J34" s="18"/>
      <c r="K34" s="18"/>
      <c r="L34" s="18"/>
      <c r="M34" s="18"/>
      <c r="N34" s="18"/>
      <c r="O34" s="18"/>
      <c r="P34" s="18"/>
      <c r="Q34" s="18"/>
      <c r="R34" s="18"/>
      <c r="S34" s="18"/>
      <c r="T34" s="18"/>
      <c r="U34" s="18"/>
      <c r="V34" s="18"/>
      <c r="W34" s="18"/>
      <c r="X34" s="18"/>
      <c r="Y34" s="18"/>
    </row>
    <row r="35" ht="19.5" customHeight="1">
      <c r="A35" s="19" t="s">
        <v>63</v>
      </c>
      <c r="B35" s="23">
        <v>139455.0</v>
      </c>
      <c r="C35" s="24" t="s">
        <v>36</v>
      </c>
      <c r="D35" s="18"/>
      <c r="E35" s="18"/>
      <c r="F35" s="18"/>
      <c r="G35" s="18"/>
      <c r="H35" s="18"/>
      <c r="I35" s="18"/>
      <c r="J35" s="18"/>
      <c r="K35" s="18"/>
      <c r="L35" s="18"/>
      <c r="M35" s="18"/>
      <c r="N35" s="18"/>
      <c r="O35" s="18"/>
      <c r="P35" s="18"/>
      <c r="Q35" s="18"/>
      <c r="R35" s="18"/>
      <c r="S35" s="18"/>
      <c r="T35" s="18"/>
      <c r="U35" s="18"/>
      <c r="V35" s="18"/>
      <c r="W35" s="18"/>
      <c r="X35" s="18"/>
      <c r="Y35" s="18"/>
    </row>
    <row r="36" ht="19.5" customHeight="1">
      <c r="A36" s="19" t="s">
        <v>64</v>
      </c>
      <c r="B36" s="23">
        <v>663698.0</v>
      </c>
      <c r="C36" s="24" t="s">
        <v>38</v>
      </c>
      <c r="D36" s="18"/>
      <c r="E36" s="18"/>
      <c r="F36" s="18"/>
      <c r="G36" s="18"/>
      <c r="H36" s="18"/>
      <c r="I36" s="18"/>
      <c r="J36" s="18"/>
      <c r="K36" s="18"/>
      <c r="L36" s="18"/>
      <c r="M36" s="18"/>
      <c r="N36" s="18"/>
      <c r="O36" s="18"/>
      <c r="P36" s="18"/>
      <c r="Q36" s="18"/>
      <c r="R36" s="18"/>
      <c r="S36" s="18"/>
      <c r="T36" s="18"/>
      <c r="U36" s="18"/>
      <c r="V36" s="18"/>
      <c r="W36" s="18"/>
      <c r="X36" s="18"/>
      <c r="Y36" s="18"/>
    </row>
    <row r="37" ht="19.5" customHeight="1">
      <c r="A37" s="19" t="s">
        <v>65</v>
      </c>
      <c r="B37" s="23">
        <v>416136.0</v>
      </c>
      <c r="C37" s="24" t="s">
        <v>37</v>
      </c>
      <c r="D37" s="18"/>
      <c r="E37" s="18"/>
      <c r="F37" s="18"/>
      <c r="G37" s="18"/>
      <c r="H37" s="18"/>
      <c r="I37" s="18"/>
      <c r="J37" s="18"/>
      <c r="K37" s="18"/>
      <c r="L37" s="18"/>
      <c r="M37" s="18"/>
      <c r="N37" s="18"/>
      <c r="O37" s="18"/>
      <c r="P37" s="18"/>
      <c r="Q37" s="18"/>
      <c r="R37" s="18"/>
      <c r="S37" s="18"/>
      <c r="T37" s="18"/>
      <c r="U37" s="18"/>
      <c r="V37" s="18"/>
      <c r="W37" s="18"/>
      <c r="X37" s="18"/>
      <c r="Y37" s="18"/>
    </row>
    <row r="38" ht="19.5" customHeight="1">
      <c r="A38" s="19" t="s">
        <v>66</v>
      </c>
      <c r="B38" s="23">
        <v>787868.0</v>
      </c>
      <c r="C38" s="24" t="s">
        <v>38</v>
      </c>
      <c r="D38" s="18"/>
      <c r="E38" s="18"/>
      <c r="F38" s="18"/>
      <c r="G38" s="18"/>
      <c r="H38" s="18"/>
      <c r="I38" s="18"/>
      <c r="J38" s="18"/>
      <c r="K38" s="18"/>
      <c r="L38" s="18"/>
      <c r="M38" s="18"/>
      <c r="N38" s="18"/>
      <c r="O38" s="18"/>
      <c r="P38" s="18"/>
      <c r="Q38" s="18"/>
      <c r="R38" s="18"/>
      <c r="S38" s="18"/>
      <c r="T38" s="18"/>
      <c r="U38" s="18"/>
      <c r="V38" s="18"/>
      <c r="W38" s="18"/>
      <c r="X38" s="18"/>
      <c r="Y38" s="18"/>
    </row>
    <row r="39" ht="19.5" customHeight="1">
      <c r="A39" s="19" t="s">
        <v>67</v>
      </c>
      <c r="B39" s="23">
        <v>299230.0</v>
      </c>
      <c r="C39" s="24" t="s">
        <v>38</v>
      </c>
      <c r="D39" s="18"/>
      <c r="E39" s="18"/>
      <c r="F39" s="18"/>
      <c r="G39" s="18"/>
      <c r="H39" s="18"/>
      <c r="I39" s="18"/>
      <c r="J39" s="18"/>
      <c r="K39" s="18"/>
      <c r="L39" s="18"/>
      <c r="M39" s="18"/>
      <c r="N39" s="18"/>
      <c r="O39" s="18"/>
      <c r="P39" s="18"/>
      <c r="Q39" s="18"/>
      <c r="R39" s="18"/>
      <c r="S39" s="18"/>
      <c r="T39" s="18"/>
      <c r="U39" s="18"/>
      <c r="V39" s="18"/>
      <c r="W39" s="18"/>
      <c r="X39" s="18"/>
      <c r="Y39" s="18"/>
    </row>
    <row r="40" ht="19.5" customHeight="1">
      <c r="A40" s="19" t="s">
        <v>68</v>
      </c>
      <c r="B40" s="23">
        <v>274484.0</v>
      </c>
      <c r="C40" s="24" t="s">
        <v>37</v>
      </c>
      <c r="D40" s="18"/>
      <c r="E40" s="18"/>
      <c r="F40" s="18"/>
      <c r="G40" s="18"/>
      <c r="H40" s="18"/>
      <c r="I40" s="18"/>
      <c r="J40" s="18"/>
      <c r="K40" s="18"/>
      <c r="L40" s="18"/>
      <c r="M40" s="18"/>
      <c r="N40" s="18"/>
      <c r="O40" s="18"/>
      <c r="P40" s="18"/>
      <c r="Q40" s="18"/>
      <c r="R40" s="18"/>
      <c r="S40" s="18"/>
      <c r="T40" s="18"/>
      <c r="U40" s="18"/>
      <c r="V40" s="18"/>
      <c r="W40" s="18"/>
      <c r="X40" s="18"/>
      <c r="Y40" s="18"/>
    </row>
    <row r="41" ht="19.5" customHeight="1">
      <c r="A41" s="19" t="s">
        <v>69</v>
      </c>
      <c r="B41" s="23">
        <v>169571.0</v>
      </c>
      <c r="C41" s="24" t="s">
        <v>36</v>
      </c>
      <c r="D41" s="18"/>
      <c r="E41" s="18"/>
      <c r="F41" s="18"/>
      <c r="G41" s="18"/>
      <c r="H41" s="18"/>
      <c r="I41" s="18"/>
      <c r="J41" s="18"/>
      <c r="K41" s="18"/>
      <c r="L41" s="18"/>
      <c r="M41" s="18"/>
      <c r="N41" s="18"/>
      <c r="O41" s="18"/>
      <c r="P41" s="18"/>
      <c r="Q41" s="18"/>
      <c r="R41" s="18"/>
      <c r="S41" s="18"/>
      <c r="T41" s="18"/>
      <c r="U41" s="18"/>
      <c r="V41" s="18"/>
      <c r="W41" s="18"/>
      <c r="X41" s="18"/>
      <c r="Y41" s="18"/>
    </row>
    <row r="42" ht="19.5" customHeight="1">
      <c r="A42" s="19" t="s">
        <v>70</v>
      </c>
      <c r="B42" s="23">
        <v>184506.0</v>
      </c>
      <c r="C42" s="24" t="s">
        <v>38</v>
      </c>
      <c r="D42" s="18"/>
      <c r="E42" s="18"/>
      <c r="F42" s="18"/>
      <c r="G42" s="18"/>
      <c r="H42" s="18"/>
      <c r="I42" s="18"/>
      <c r="J42" s="18"/>
      <c r="K42" s="18"/>
      <c r="L42" s="18"/>
      <c r="M42" s="18"/>
      <c r="N42" s="18"/>
      <c r="O42" s="18"/>
      <c r="P42" s="18"/>
      <c r="Q42" s="18"/>
      <c r="R42" s="18"/>
      <c r="S42" s="18"/>
      <c r="T42" s="18"/>
      <c r="U42" s="18"/>
      <c r="V42" s="18"/>
      <c r="W42" s="18"/>
      <c r="X42" s="18"/>
      <c r="Y42" s="18"/>
    </row>
    <row r="43" ht="19.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row>
    <row r="44" ht="19.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row>
    <row r="45" ht="19.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row>
    <row r="46" ht="19.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row>
    <row r="47" ht="19.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row>
    <row r="48" ht="19.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row>
    <row r="49" ht="19.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row>
    <row r="50" ht="19.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row>
    <row r="51" ht="19.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row>
    <row r="52" ht="19.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row>
    <row r="53" ht="19.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row>
    <row r="54" ht="19.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row>
    <row r="55" ht="19.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row>
    <row r="56" ht="19.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row>
    <row r="57" ht="19.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row>
    <row r="58" ht="19.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row>
    <row r="59" ht="19.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row>
    <row r="60" ht="19.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row>
    <row r="61" ht="19.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row>
    <row r="62" ht="19.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row>
    <row r="63" ht="19.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row>
    <row r="64" ht="19.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row>
    <row r="65" ht="19.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row>
    <row r="66" ht="19.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row>
    <row r="67" ht="19.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row>
    <row r="68" ht="19.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row>
    <row r="69" ht="19.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row>
    <row r="70" ht="19.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row>
    <row r="71" ht="19.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row>
    <row r="72" ht="19.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row>
    <row r="73" ht="19.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row>
    <row r="74" ht="19.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row>
    <row r="75" ht="19.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row>
    <row r="76" ht="19.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row>
    <row r="77" ht="19.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row>
    <row r="78" ht="19.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row>
    <row r="79" ht="19.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row>
    <row r="80" ht="19.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row>
    <row r="81" ht="19.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row>
    <row r="82" ht="19.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row>
    <row r="83" ht="19.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row>
    <row r="84" ht="19.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row>
    <row r="85" ht="19.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row>
    <row r="86" ht="19.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row>
    <row r="87" ht="19.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row>
    <row r="88" ht="19.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row>
    <row r="89" ht="19.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row>
    <row r="90" ht="19.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row>
    <row r="91" ht="19.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row>
    <row r="92" ht="19.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row>
    <row r="93" ht="19.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row>
    <row r="94" ht="19.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row>
    <row r="95" ht="19.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row>
    <row r="96" ht="19.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row>
    <row r="97" ht="19.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row>
    <row r="98" ht="19.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row>
    <row r="99" ht="19.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row>
    <row r="100" ht="19.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row>
    <row r="101" ht="19.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row>
    <row r="102" ht="19.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row>
    <row r="103" ht="19.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row>
    <row r="104" ht="19.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row>
    <row r="105" ht="19.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row>
    <row r="106" ht="19.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row>
    <row r="107" ht="19.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row>
    <row r="108" ht="19.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row>
    <row r="109" ht="19.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row>
    <row r="110" ht="19.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row>
    <row r="111" ht="19.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row>
    <row r="112" ht="19.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row>
    <row r="113" ht="19.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row>
    <row r="114" ht="19.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row>
    <row r="115" ht="19.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row>
    <row r="116" ht="19.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row>
    <row r="117" ht="19.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row>
    <row r="118" ht="19.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row>
    <row r="119" ht="19.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row>
    <row r="120" ht="19.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row>
    <row r="121" ht="19.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row>
    <row r="122" ht="19.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row>
    <row r="123" ht="19.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row>
    <row r="124" ht="19.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row>
    <row r="125" ht="19.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row>
    <row r="126" ht="19.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row>
    <row r="127" ht="19.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row>
    <row r="128" ht="19.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row>
    <row r="129" ht="19.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row>
    <row r="130" ht="19.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row>
    <row r="131" ht="19.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row>
    <row r="132" ht="19.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row>
    <row r="133" ht="19.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row>
    <row r="134" ht="19.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row>
    <row r="135" ht="19.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row>
    <row r="136" ht="19.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row>
    <row r="137" ht="19.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row>
    <row r="138" ht="19.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row>
    <row r="139" ht="19.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row>
    <row r="140" ht="19.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row>
    <row r="141" ht="19.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row>
    <row r="142" ht="19.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row>
    <row r="143" ht="19.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row>
    <row r="144" ht="19.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row>
    <row r="145" ht="19.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row>
    <row r="146" ht="19.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row>
    <row r="147" ht="19.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row>
    <row r="148" ht="19.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row>
    <row r="149" ht="19.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row>
    <row r="150" ht="19.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row>
    <row r="151" ht="19.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row>
    <row r="152" ht="19.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row>
    <row r="153" ht="19.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row>
    <row r="154" ht="19.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row>
    <row r="155" ht="19.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row>
    <row r="156" ht="19.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row>
    <row r="157" ht="19.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row>
    <row r="158" ht="19.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row>
    <row r="159" ht="19.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row>
    <row r="160" ht="19.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row>
    <row r="161" ht="19.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row>
    <row r="162" ht="19.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row>
    <row r="163" ht="19.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row>
    <row r="164" ht="19.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row>
    <row r="165" ht="19.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row>
    <row r="166" ht="19.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row>
    <row r="167" ht="19.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row>
    <row r="168" ht="19.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row>
    <row r="169" ht="19.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row>
    <row r="170" ht="19.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row>
    <row r="171" ht="19.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row>
    <row r="172" ht="19.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row>
    <row r="173" ht="19.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row>
    <row r="174" ht="19.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row>
    <row r="175" ht="19.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row>
    <row r="176" ht="19.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row>
    <row r="177" ht="19.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row>
    <row r="178" ht="19.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row>
    <row r="179" ht="19.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row>
    <row r="180" ht="19.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row>
    <row r="181" ht="19.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row>
    <row r="182" ht="19.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row>
    <row r="183" ht="19.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row>
    <row r="184" ht="19.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row>
    <row r="185" ht="19.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row>
    <row r="186" ht="19.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row>
    <row r="187" ht="19.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row>
    <row r="188" ht="19.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row>
    <row r="189" ht="19.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row>
    <row r="190" ht="19.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row>
    <row r="191" ht="19.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row>
    <row r="192" ht="19.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row>
    <row r="193" ht="19.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row>
    <row r="194" ht="19.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row>
    <row r="195" ht="19.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row>
    <row r="196" ht="19.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row>
    <row r="197" ht="19.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row>
    <row r="198" ht="19.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row>
    <row r="199" ht="19.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row>
    <row r="200" ht="19.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row>
    <row r="201" ht="19.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row>
    <row r="202" ht="19.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row>
    <row r="203" ht="19.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row>
    <row r="204" ht="19.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row>
    <row r="205" ht="19.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row>
    <row r="206" ht="19.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row>
    <row r="207" ht="19.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row>
    <row r="208" ht="19.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row>
    <row r="209" ht="19.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row>
    <row r="210" ht="19.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row>
    <row r="211" ht="19.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row>
    <row r="212" ht="19.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row>
    <row r="213" ht="19.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row>
    <row r="214" ht="19.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row>
    <row r="215" ht="19.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row>
    <row r="216" ht="19.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row>
    <row r="217" ht="19.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row>
    <row r="218" ht="19.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row>
    <row r="219" ht="19.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row>
    <row r="220" ht="19.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row>
    <row r="221" ht="19.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row>
    <row r="222" ht="19.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row>
    <row r="223" ht="19.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row>
    <row r="224" ht="19.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row>
    <row r="225" ht="19.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row>
    <row r="226" ht="19.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row>
    <row r="227" ht="19.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row>
    <row r="228" ht="19.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row>
    <row r="229" ht="19.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row>
    <row r="230" ht="19.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row>
    <row r="231" ht="19.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row>
    <row r="232" ht="19.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row>
    <row r="233" ht="19.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row>
    <row r="234" ht="19.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row>
    <row r="235" ht="19.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row>
    <row r="236" ht="19.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row>
    <row r="237" ht="19.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row>
    <row r="238" ht="19.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row>
    <row r="239" ht="19.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row>
    <row r="240" ht="19.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row>
    <row r="241" ht="19.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row>
    <row r="242" ht="19.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row>
    <row r="243" ht="19.5" customHeight="1"/>
    <row r="244" ht="19.5" customHeight="1"/>
    <row r="245" ht="19.5" customHeight="1"/>
    <row r="246" ht="19.5" customHeight="1"/>
    <row r="247" ht="19.5" customHeight="1"/>
    <row r="248" ht="19.5" customHeight="1"/>
    <row r="249" ht="19.5" customHeight="1"/>
    <row r="250" ht="19.5" customHeight="1"/>
    <row r="251" ht="19.5" customHeight="1"/>
    <row r="252" ht="19.5" customHeight="1"/>
    <row r="253" ht="19.5" customHeight="1"/>
    <row r="254" ht="19.5" customHeight="1"/>
    <row r="255" ht="19.5" customHeight="1"/>
    <row r="256" ht="19.5" customHeight="1"/>
    <row r="257" ht="19.5" customHeight="1"/>
    <row r="258" ht="19.5" customHeight="1"/>
    <row r="259" ht="19.5" customHeight="1"/>
    <row r="260" ht="19.5" customHeight="1"/>
    <row r="261" ht="19.5" customHeight="1"/>
    <row r="262" ht="19.5" customHeight="1"/>
    <row r="263" ht="19.5" customHeight="1"/>
    <row r="264" ht="19.5" customHeight="1"/>
    <row r="265" ht="19.5" customHeight="1"/>
    <row r="266" ht="19.5" customHeight="1"/>
    <row r="267" ht="19.5" customHeight="1"/>
    <row r="268" ht="19.5" customHeight="1"/>
    <row r="269" ht="19.5" customHeight="1"/>
    <row r="270" ht="19.5" customHeight="1"/>
    <row r="271" ht="19.5" customHeight="1"/>
    <row r="272" ht="19.5" customHeight="1"/>
    <row r="273" ht="19.5" customHeight="1"/>
    <row r="274" ht="19.5" customHeight="1"/>
    <row r="275" ht="19.5" customHeight="1"/>
    <row r="276" ht="19.5" customHeight="1"/>
    <row r="277" ht="19.5" customHeight="1"/>
    <row r="278" ht="19.5" customHeight="1"/>
    <row r="279" ht="19.5" customHeight="1"/>
    <row r="280" ht="19.5" customHeight="1"/>
    <row r="281" ht="19.5" customHeight="1"/>
    <row r="282" ht="19.5" customHeight="1"/>
    <row r="283" ht="19.5" customHeight="1"/>
    <row r="284" ht="19.5" customHeight="1"/>
    <row r="285" ht="19.5" customHeight="1"/>
    <row r="286" ht="19.5" customHeight="1"/>
    <row r="287" ht="19.5" customHeight="1"/>
    <row r="288" ht="19.5" customHeight="1"/>
    <row r="289" ht="19.5" customHeight="1"/>
    <row r="290" ht="19.5" customHeight="1"/>
    <row r="291" ht="19.5" customHeight="1"/>
    <row r="292" ht="19.5" customHeight="1"/>
    <row r="293" ht="19.5" customHeight="1"/>
    <row r="294" ht="19.5" customHeight="1"/>
    <row r="295" ht="19.5" customHeight="1"/>
    <row r="296" ht="19.5" customHeight="1"/>
    <row r="297" ht="19.5" customHeight="1"/>
    <row r="298" ht="19.5" customHeight="1"/>
    <row r="299" ht="19.5" customHeight="1"/>
    <row r="300" ht="19.5" customHeight="1"/>
    <row r="301" ht="19.5" customHeight="1"/>
    <row r="302" ht="19.5" customHeight="1"/>
    <row r="303" ht="19.5" customHeight="1"/>
    <row r="304" ht="19.5" customHeight="1"/>
    <row r="305" ht="19.5" customHeight="1"/>
    <row r="306" ht="19.5" customHeight="1"/>
    <row r="307" ht="19.5" customHeight="1"/>
    <row r="308" ht="19.5" customHeight="1"/>
    <row r="309" ht="19.5" customHeight="1"/>
    <row r="310" ht="19.5" customHeight="1"/>
    <row r="311" ht="19.5" customHeight="1"/>
    <row r="312" ht="19.5" customHeight="1"/>
    <row r="313" ht="19.5" customHeight="1"/>
    <row r="314" ht="19.5" customHeight="1"/>
    <row r="315" ht="19.5" customHeight="1"/>
    <row r="316" ht="19.5" customHeight="1"/>
    <row r="317" ht="19.5" customHeight="1"/>
    <row r="318" ht="19.5" customHeight="1"/>
    <row r="319" ht="19.5" customHeight="1"/>
    <row r="320" ht="19.5" customHeight="1"/>
    <row r="321" ht="19.5" customHeight="1"/>
    <row r="322" ht="19.5" customHeight="1"/>
    <row r="323" ht="19.5" customHeight="1"/>
    <row r="324" ht="19.5" customHeight="1"/>
    <row r="325" ht="19.5" customHeight="1"/>
    <row r="326" ht="19.5" customHeight="1"/>
    <row r="327" ht="19.5" customHeight="1"/>
    <row r="328" ht="19.5" customHeight="1"/>
    <row r="329" ht="19.5" customHeight="1"/>
    <row r="330" ht="19.5" customHeight="1"/>
    <row r="331" ht="19.5" customHeight="1"/>
    <row r="332" ht="19.5" customHeight="1"/>
    <row r="333" ht="19.5" customHeight="1"/>
    <row r="334" ht="19.5" customHeight="1"/>
    <row r="335" ht="19.5" customHeight="1"/>
    <row r="336" ht="19.5" customHeight="1"/>
    <row r="337" ht="19.5" customHeight="1"/>
    <row r="338" ht="19.5" customHeight="1"/>
    <row r="339" ht="19.5" customHeight="1"/>
    <row r="340" ht="19.5" customHeight="1"/>
    <row r="341" ht="19.5" customHeight="1"/>
    <row r="342" ht="19.5" customHeight="1"/>
    <row r="343" ht="19.5" customHeight="1"/>
    <row r="344" ht="19.5" customHeight="1"/>
    <row r="345" ht="19.5" customHeight="1"/>
    <row r="346" ht="19.5" customHeight="1"/>
    <row r="347" ht="19.5" customHeight="1"/>
    <row r="348" ht="19.5" customHeight="1"/>
    <row r="349" ht="19.5" customHeight="1"/>
    <row r="350" ht="19.5" customHeight="1"/>
    <row r="351" ht="19.5" customHeight="1"/>
    <row r="352" ht="19.5" customHeight="1"/>
    <row r="353" ht="19.5" customHeight="1"/>
    <row r="354" ht="19.5" customHeight="1"/>
    <row r="355" ht="19.5" customHeight="1"/>
    <row r="356" ht="19.5" customHeight="1"/>
    <row r="357" ht="19.5" customHeight="1"/>
    <row r="358" ht="19.5" customHeight="1"/>
    <row r="359" ht="19.5" customHeight="1"/>
    <row r="360" ht="19.5" customHeight="1"/>
    <row r="361" ht="19.5" customHeight="1"/>
    <row r="362" ht="19.5" customHeight="1"/>
    <row r="363" ht="19.5" customHeight="1"/>
    <row r="364" ht="19.5" customHeight="1"/>
    <row r="365" ht="19.5" customHeight="1"/>
    <row r="366" ht="19.5" customHeight="1"/>
    <row r="367" ht="19.5" customHeight="1"/>
    <row r="368" ht="19.5" customHeight="1"/>
    <row r="369" ht="19.5" customHeight="1"/>
    <row r="370" ht="19.5" customHeight="1"/>
    <row r="371" ht="19.5" customHeight="1"/>
    <row r="372" ht="19.5" customHeight="1"/>
    <row r="373" ht="19.5" customHeight="1"/>
    <row r="374" ht="19.5" customHeight="1"/>
    <row r="375" ht="19.5" customHeight="1"/>
    <row r="376" ht="19.5" customHeight="1"/>
    <row r="377" ht="19.5" customHeight="1"/>
    <row r="378" ht="19.5" customHeight="1"/>
    <row r="379" ht="19.5" customHeight="1"/>
    <row r="380" ht="19.5" customHeight="1"/>
    <row r="381" ht="19.5" customHeight="1"/>
    <row r="382" ht="19.5" customHeight="1"/>
    <row r="383" ht="19.5" customHeight="1"/>
    <row r="384" ht="19.5" customHeight="1"/>
    <row r="385" ht="19.5" customHeight="1"/>
    <row r="386" ht="19.5" customHeight="1"/>
    <row r="387" ht="19.5" customHeight="1"/>
    <row r="388" ht="19.5" customHeight="1"/>
    <row r="389" ht="19.5" customHeight="1"/>
    <row r="390" ht="19.5" customHeight="1"/>
    <row r="391" ht="19.5" customHeight="1"/>
    <row r="392" ht="19.5" customHeight="1"/>
    <row r="393" ht="19.5" customHeight="1"/>
    <row r="394" ht="19.5" customHeight="1"/>
    <row r="395" ht="19.5" customHeight="1"/>
    <row r="396" ht="19.5" customHeight="1"/>
    <row r="397" ht="19.5" customHeight="1"/>
    <row r="398" ht="19.5" customHeight="1"/>
    <row r="399" ht="19.5" customHeight="1"/>
    <row r="400" ht="19.5" customHeight="1"/>
    <row r="401" ht="19.5" customHeight="1"/>
    <row r="402" ht="19.5" customHeight="1"/>
    <row r="403" ht="19.5" customHeight="1"/>
    <row r="404" ht="19.5" customHeight="1"/>
    <row r="405" ht="19.5" customHeight="1"/>
    <row r="406" ht="19.5" customHeight="1"/>
    <row r="407" ht="19.5" customHeight="1"/>
    <row r="408" ht="19.5" customHeight="1"/>
    <row r="409" ht="19.5" customHeight="1"/>
    <row r="410" ht="19.5" customHeight="1"/>
    <row r="411" ht="19.5" customHeight="1"/>
    <row r="412" ht="19.5" customHeight="1"/>
    <row r="413" ht="19.5" customHeight="1"/>
    <row r="414" ht="19.5" customHeight="1"/>
    <row r="415" ht="19.5" customHeight="1"/>
    <row r="416" ht="19.5" customHeight="1"/>
    <row r="417" ht="19.5" customHeight="1"/>
    <row r="418" ht="19.5" customHeight="1"/>
    <row r="419" ht="19.5" customHeight="1"/>
    <row r="420" ht="19.5" customHeight="1"/>
    <row r="421" ht="19.5" customHeight="1"/>
    <row r="422" ht="19.5" customHeight="1"/>
    <row r="423" ht="19.5" customHeight="1"/>
    <row r="424" ht="19.5" customHeight="1"/>
    <row r="425" ht="19.5" customHeight="1"/>
    <row r="426" ht="19.5" customHeight="1"/>
    <row r="427" ht="19.5" customHeight="1"/>
    <row r="428" ht="19.5" customHeight="1"/>
    <row r="429" ht="19.5" customHeight="1"/>
    <row r="430" ht="19.5" customHeight="1"/>
    <row r="431" ht="19.5" customHeight="1"/>
    <row r="432" ht="19.5" customHeight="1"/>
    <row r="433" ht="19.5" customHeight="1"/>
    <row r="434" ht="19.5" customHeight="1"/>
    <row r="435" ht="19.5" customHeight="1"/>
    <row r="436" ht="19.5" customHeight="1"/>
    <row r="437" ht="19.5" customHeight="1"/>
    <row r="438" ht="19.5" customHeight="1"/>
    <row r="439" ht="19.5" customHeight="1"/>
    <row r="440" ht="19.5" customHeight="1"/>
    <row r="441" ht="19.5" customHeight="1"/>
    <row r="442" ht="19.5" customHeight="1"/>
    <row r="443" ht="19.5" customHeight="1"/>
    <row r="444" ht="19.5" customHeight="1"/>
    <row r="445" ht="19.5" customHeight="1"/>
    <row r="446" ht="19.5" customHeight="1"/>
    <row r="447" ht="19.5" customHeight="1"/>
    <row r="448" ht="19.5" customHeight="1"/>
    <row r="449" ht="19.5" customHeight="1"/>
    <row r="450" ht="19.5" customHeight="1"/>
    <row r="451" ht="19.5" customHeight="1"/>
    <row r="452" ht="19.5" customHeight="1"/>
    <row r="453" ht="19.5" customHeight="1"/>
    <row r="454" ht="19.5" customHeight="1"/>
    <row r="455" ht="19.5" customHeight="1"/>
    <row r="456" ht="19.5" customHeight="1"/>
    <row r="457" ht="19.5" customHeight="1"/>
    <row r="458" ht="19.5" customHeight="1"/>
    <row r="459" ht="19.5" customHeight="1"/>
    <row r="460" ht="19.5" customHeight="1"/>
    <row r="461" ht="19.5" customHeight="1"/>
    <row r="462" ht="19.5" customHeight="1"/>
    <row r="463" ht="19.5" customHeight="1"/>
    <row r="464" ht="19.5" customHeight="1"/>
    <row r="465" ht="19.5" customHeight="1"/>
    <row r="466" ht="19.5" customHeight="1"/>
    <row r="467" ht="19.5" customHeight="1"/>
    <row r="468" ht="19.5" customHeight="1"/>
    <row r="469" ht="19.5" customHeight="1"/>
    <row r="470" ht="19.5" customHeight="1"/>
    <row r="471" ht="19.5" customHeight="1"/>
    <row r="472" ht="19.5" customHeight="1"/>
    <row r="473" ht="19.5" customHeight="1"/>
    <row r="474" ht="19.5" customHeight="1"/>
    <row r="475" ht="19.5" customHeight="1"/>
    <row r="476" ht="19.5" customHeight="1"/>
    <row r="477" ht="19.5" customHeight="1"/>
    <row r="478" ht="19.5" customHeight="1"/>
    <row r="479" ht="19.5" customHeight="1"/>
    <row r="480" ht="19.5" customHeight="1"/>
    <row r="481" ht="19.5" customHeight="1"/>
    <row r="482" ht="19.5" customHeight="1"/>
    <row r="483" ht="19.5" customHeight="1"/>
    <row r="484" ht="19.5" customHeight="1"/>
    <row r="485" ht="19.5" customHeight="1"/>
    <row r="486" ht="19.5" customHeight="1"/>
    <row r="487" ht="19.5" customHeight="1"/>
    <row r="488" ht="19.5" customHeight="1"/>
    <row r="489" ht="19.5" customHeight="1"/>
    <row r="490" ht="19.5" customHeight="1"/>
    <row r="491" ht="19.5" customHeight="1"/>
    <row r="492" ht="19.5" customHeight="1"/>
    <row r="493" ht="19.5" customHeight="1"/>
    <row r="494" ht="19.5" customHeight="1"/>
    <row r="495" ht="19.5" customHeight="1"/>
    <row r="496" ht="19.5" customHeight="1"/>
    <row r="497" ht="19.5" customHeight="1"/>
    <row r="498" ht="19.5" customHeight="1"/>
    <row r="499" ht="19.5" customHeight="1"/>
    <row r="500" ht="19.5" customHeight="1"/>
    <row r="501" ht="19.5" customHeight="1"/>
    <row r="502" ht="19.5" customHeight="1"/>
    <row r="503" ht="19.5" customHeight="1"/>
    <row r="504" ht="19.5" customHeight="1"/>
    <row r="505" ht="19.5" customHeight="1"/>
    <row r="506" ht="19.5" customHeight="1"/>
    <row r="507" ht="19.5" customHeight="1"/>
    <row r="508" ht="19.5" customHeight="1"/>
    <row r="509" ht="19.5" customHeight="1"/>
    <row r="510" ht="19.5" customHeight="1"/>
    <row r="511" ht="19.5" customHeight="1"/>
    <row r="512" ht="19.5" customHeight="1"/>
    <row r="513" ht="19.5" customHeight="1"/>
    <row r="514" ht="19.5" customHeight="1"/>
    <row r="515" ht="19.5" customHeight="1"/>
    <row r="516" ht="19.5" customHeight="1"/>
    <row r="517" ht="19.5" customHeight="1"/>
    <row r="518" ht="19.5" customHeight="1"/>
    <row r="519" ht="19.5" customHeight="1"/>
    <row r="520" ht="19.5" customHeight="1"/>
    <row r="521" ht="19.5" customHeight="1"/>
    <row r="522" ht="19.5" customHeight="1"/>
    <row r="523" ht="19.5" customHeight="1"/>
    <row r="524" ht="19.5" customHeight="1"/>
    <row r="525" ht="19.5" customHeight="1"/>
    <row r="526" ht="19.5" customHeight="1"/>
    <row r="527" ht="19.5" customHeight="1"/>
    <row r="528" ht="19.5" customHeight="1"/>
    <row r="529" ht="19.5" customHeight="1"/>
    <row r="530" ht="19.5" customHeight="1"/>
    <row r="531" ht="19.5" customHeight="1"/>
    <row r="532" ht="19.5" customHeight="1"/>
    <row r="533" ht="19.5" customHeight="1"/>
    <row r="534" ht="19.5" customHeight="1"/>
    <row r="535" ht="19.5" customHeight="1"/>
    <row r="536" ht="19.5" customHeight="1"/>
    <row r="537" ht="19.5" customHeight="1"/>
    <row r="538" ht="19.5" customHeight="1"/>
    <row r="539" ht="19.5" customHeight="1"/>
    <row r="540" ht="19.5" customHeight="1"/>
    <row r="541" ht="19.5" customHeight="1"/>
    <row r="542" ht="19.5" customHeight="1"/>
    <row r="543" ht="19.5" customHeight="1"/>
    <row r="544" ht="19.5" customHeight="1"/>
    <row r="545" ht="19.5" customHeight="1"/>
    <row r="546" ht="19.5" customHeight="1"/>
    <row r="547" ht="19.5" customHeight="1"/>
    <row r="548" ht="19.5" customHeight="1"/>
    <row r="549" ht="19.5" customHeight="1"/>
    <row r="550" ht="19.5" customHeight="1"/>
    <row r="551" ht="19.5" customHeight="1"/>
    <row r="552" ht="19.5" customHeight="1"/>
    <row r="553" ht="19.5" customHeight="1"/>
    <row r="554" ht="19.5" customHeight="1"/>
    <row r="555" ht="19.5" customHeight="1"/>
    <row r="556" ht="19.5" customHeight="1"/>
    <row r="557" ht="19.5" customHeight="1"/>
    <row r="558" ht="19.5" customHeight="1"/>
    <row r="559" ht="19.5" customHeight="1"/>
    <row r="560" ht="19.5" customHeight="1"/>
    <row r="561" ht="19.5" customHeight="1"/>
    <row r="562" ht="19.5" customHeight="1"/>
    <row r="563" ht="19.5" customHeight="1"/>
    <row r="564" ht="19.5" customHeight="1"/>
    <row r="565" ht="19.5" customHeight="1"/>
    <row r="566" ht="19.5" customHeight="1"/>
    <row r="567" ht="19.5" customHeight="1"/>
    <row r="568" ht="19.5" customHeight="1"/>
    <row r="569" ht="19.5" customHeight="1"/>
    <row r="570" ht="19.5" customHeight="1"/>
    <row r="571" ht="19.5" customHeight="1"/>
    <row r="572" ht="19.5" customHeight="1"/>
    <row r="573" ht="19.5" customHeight="1"/>
    <row r="574" ht="19.5" customHeight="1"/>
    <row r="575" ht="19.5" customHeight="1"/>
    <row r="576" ht="19.5" customHeight="1"/>
    <row r="577" ht="19.5" customHeight="1"/>
    <row r="578" ht="19.5" customHeight="1"/>
    <row r="579" ht="19.5" customHeight="1"/>
    <row r="580" ht="19.5" customHeight="1"/>
    <row r="581" ht="19.5" customHeight="1"/>
    <row r="582" ht="19.5" customHeight="1"/>
    <row r="583" ht="19.5" customHeight="1"/>
    <row r="584" ht="19.5" customHeight="1"/>
    <row r="585" ht="19.5" customHeight="1"/>
    <row r="586" ht="19.5" customHeight="1"/>
    <row r="587" ht="19.5" customHeight="1"/>
    <row r="588" ht="19.5" customHeight="1"/>
    <row r="589" ht="19.5" customHeight="1"/>
    <row r="590" ht="19.5" customHeight="1"/>
    <row r="591" ht="19.5" customHeight="1"/>
    <row r="592" ht="19.5" customHeight="1"/>
    <row r="593" ht="19.5" customHeight="1"/>
    <row r="594" ht="19.5" customHeight="1"/>
    <row r="595" ht="19.5" customHeight="1"/>
    <row r="596" ht="19.5" customHeight="1"/>
    <row r="597" ht="19.5" customHeight="1"/>
    <row r="598" ht="19.5" customHeight="1"/>
    <row r="599" ht="19.5" customHeight="1"/>
    <row r="600" ht="19.5" customHeight="1"/>
    <row r="601" ht="19.5" customHeight="1"/>
    <row r="602" ht="19.5" customHeight="1"/>
    <row r="603" ht="19.5" customHeight="1"/>
    <row r="604" ht="19.5" customHeight="1"/>
    <row r="605" ht="19.5" customHeight="1"/>
    <row r="606" ht="19.5" customHeight="1"/>
    <row r="607" ht="19.5" customHeight="1"/>
    <row r="608" ht="19.5" customHeight="1"/>
    <row r="609" ht="19.5" customHeight="1"/>
    <row r="610" ht="19.5" customHeight="1"/>
    <row r="611" ht="19.5" customHeight="1"/>
    <row r="612" ht="19.5" customHeight="1"/>
    <row r="613" ht="19.5" customHeight="1"/>
    <row r="614" ht="19.5" customHeight="1"/>
    <row r="615" ht="19.5" customHeight="1"/>
    <row r="616" ht="19.5" customHeight="1"/>
    <row r="617" ht="19.5" customHeight="1"/>
    <row r="618" ht="19.5" customHeight="1"/>
    <row r="619" ht="19.5" customHeight="1"/>
    <row r="620" ht="19.5" customHeight="1"/>
    <row r="621" ht="19.5" customHeight="1"/>
    <row r="622" ht="19.5" customHeight="1"/>
    <row r="623" ht="19.5" customHeight="1"/>
    <row r="624" ht="19.5" customHeight="1"/>
    <row r="625" ht="19.5" customHeight="1"/>
    <row r="626" ht="19.5" customHeight="1"/>
    <row r="627" ht="19.5" customHeight="1"/>
    <row r="628" ht="19.5" customHeight="1"/>
    <row r="629" ht="19.5" customHeight="1"/>
    <row r="630" ht="19.5" customHeight="1"/>
    <row r="631" ht="19.5" customHeight="1"/>
    <row r="632" ht="19.5" customHeight="1"/>
    <row r="633" ht="19.5" customHeight="1"/>
    <row r="634" ht="19.5" customHeight="1"/>
    <row r="635" ht="19.5" customHeight="1"/>
    <row r="636" ht="19.5" customHeight="1"/>
    <row r="637" ht="19.5" customHeight="1"/>
    <row r="638" ht="19.5" customHeight="1"/>
    <row r="639" ht="19.5" customHeight="1"/>
    <row r="640" ht="19.5" customHeight="1"/>
    <row r="641" ht="19.5" customHeight="1"/>
    <row r="642" ht="19.5" customHeight="1"/>
    <row r="643" ht="19.5" customHeight="1"/>
    <row r="644" ht="19.5" customHeight="1"/>
    <row r="645" ht="19.5" customHeight="1"/>
    <row r="646" ht="19.5" customHeight="1"/>
    <row r="647" ht="19.5" customHeight="1"/>
    <row r="648" ht="19.5" customHeight="1"/>
    <row r="649" ht="19.5" customHeight="1"/>
    <row r="650" ht="19.5" customHeight="1"/>
    <row r="651" ht="19.5" customHeight="1"/>
    <row r="652" ht="19.5" customHeight="1"/>
    <row r="653" ht="19.5" customHeight="1"/>
    <row r="654" ht="19.5" customHeight="1"/>
    <row r="655" ht="19.5" customHeight="1"/>
    <row r="656" ht="19.5" customHeight="1"/>
    <row r="657" ht="19.5" customHeight="1"/>
    <row r="658" ht="19.5" customHeight="1"/>
    <row r="659" ht="19.5" customHeight="1"/>
    <row r="660" ht="19.5" customHeight="1"/>
    <row r="661" ht="19.5" customHeight="1"/>
    <row r="662" ht="19.5" customHeight="1"/>
    <row r="663" ht="19.5" customHeight="1"/>
    <row r="664" ht="19.5" customHeight="1"/>
    <row r="665" ht="19.5" customHeight="1"/>
    <row r="666" ht="19.5" customHeight="1"/>
    <row r="667" ht="19.5" customHeight="1"/>
    <row r="668" ht="19.5" customHeight="1"/>
    <row r="669" ht="19.5" customHeight="1"/>
    <row r="670" ht="19.5" customHeight="1"/>
    <row r="671" ht="19.5" customHeight="1"/>
    <row r="672" ht="19.5" customHeight="1"/>
    <row r="673" ht="19.5" customHeight="1"/>
    <row r="674" ht="19.5" customHeight="1"/>
    <row r="675" ht="19.5" customHeight="1"/>
    <row r="676" ht="19.5" customHeight="1"/>
    <row r="677" ht="19.5" customHeight="1"/>
    <row r="678" ht="19.5" customHeight="1"/>
    <row r="679" ht="19.5" customHeight="1"/>
    <row r="680" ht="19.5" customHeight="1"/>
    <row r="681" ht="19.5" customHeight="1"/>
    <row r="682" ht="19.5" customHeight="1"/>
    <row r="683" ht="19.5" customHeight="1"/>
    <row r="684" ht="19.5" customHeight="1"/>
    <row r="685" ht="19.5" customHeight="1"/>
    <row r="686" ht="19.5" customHeight="1"/>
    <row r="687" ht="19.5" customHeight="1"/>
    <row r="688" ht="19.5" customHeight="1"/>
    <row r="689" ht="19.5" customHeight="1"/>
    <row r="690" ht="19.5" customHeight="1"/>
    <row r="691" ht="19.5" customHeight="1"/>
    <row r="692" ht="19.5" customHeight="1"/>
    <row r="693" ht="19.5" customHeight="1"/>
    <row r="694" ht="19.5" customHeight="1"/>
    <row r="695" ht="19.5" customHeight="1"/>
    <row r="696" ht="19.5" customHeight="1"/>
    <row r="697" ht="19.5" customHeight="1"/>
    <row r="698" ht="19.5" customHeight="1"/>
    <row r="699" ht="19.5" customHeight="1"/>
    <row r="700" ht="19.5" customHeight="1"/>
    <row r="701" ht="19.5" customHeight="1"/>
    <row r="702" ht="19.5" customHeight="1"/>
    <row r="703" ht="19.5" customHeight="1"/>
    <row r="704" ht="19.5" customHeight="1"/>
    <row r="705" ht="19.5" customHeight="1"/>
    <row r="706" ht="19.5" customHeight="1"/>
    <row r="707" ht="19.5" customHeight="1"/>
    <row r="708" ht="19.5" customHeight="1"/>
    <row r="709" ht="19.5" customHeight="1"/>
    <row r="710" ht="19.5" customHeight="1"/>
    <row r="711" ht="19.5" customHeight="1"/>
    <row r="712" ht="19.5" customHeight="1"/>
    <row r="713" ht="19.5" customHeight="1"/>
    <row r="714" ht="19.5" customHeight="1"/>
    <row r="715" ht="19.5" customHeight="1"/>
    <row r="716" ht="19.5" customHeight="1"/>
    <row r="717" ht="19.5" customHeight="1"/>
    <row r="718" ht="19.5" customHeight="1"/>
    <row r="719" ht="19.5" customHeight="1"/>
    <row r="720" ht="19.5" customHeight="1"/>
    <row r="721" ht="19.5" customHeight="1"/>
    <row r="722" ht="19.5" customHeight="1"/>
    <row r="723" ht="19.5" customHeight="1"/>
    <row r="724" ht="19.5" customHeight="1"/>
    <row r="725" ht="19.5" customHeight="1"/>
    <row r="726" ht="19.5" customHeight="1"/>
    <row r="727" ht="19.5" customHeight="1"/>
    <row r="728" ht="19.5" customHeight="1"/>
    <row r="729" ht="19.5" customHeight="1"/>
    <row r="730" ht="19.5" customHeight="1"/>
    <row r="731" ht="19.5" customHeight="1"/>
    <row r="732" ht="19.5" customHeight="1"/>
    <row r="733" ht="19.5" customHeight="1"/>
    <row r="734" ht="19.5" customHeight="1"/>
    <row r="735" ht="19.5" customHeight="1"/>
    <row r="736" ht="19.5" customHeight="1"/>
    <row r="737" ht="19.5" customHeight="1"/>
    <row r="738" ht="19.5" customHeight="1"/>
    <row r="739" ht="19.5" customHeight="1"/>
    <row r="740" ht="19.5" customHeight="1"/>
    <row r="741" ht="19.5" customHeight="1"/>
    <row r="742" ht="19.5" customHeight="1"/>
    <row r="743" ht="19.5" customHeight="1"/>
    <row r="744" ht="19.5" customHeight="1"/>
    <row r="745" ht="19.5" customHeight="1"/>
    <row r="746" ht="19.5" customHeight="1"/>
    <row r="747" ht="19.5" customHeight="1"/>
    <row r="748" ht="19.5" customHeight="1"/>
    <row r="749" ht="19.5" customHeight="1"/>
    <row r="750" ht="19.5" customHeight="1"/>
    <row r="751" ht="19.5" customHeight="1"/>
    <row r="752" ht="19.5" customHeight="1"/>
    <row r="753" ht="19.5" customHeight="1"/>
    <row r="754" ht="19.5" customHeight="1"/>
    <row r="755" ht="19.5" customHeight="1"/>
    <row r="756" ht="19.5" customHeight="1"/>
    <row r="757" ht="19.5" customHeight="1"/>
    <row r="758" ht="19.5" customHeight="1"/>
    <row r="759" ht="19.5" customHeight="1"/>
    <row r="760" ht="19.5" customHeight="1"/>
    <row r="761" ht="19.5" customHeight="1"/>
    <row r="762" ht="19.5" customHeight="1"/>
    <row r="763" ht="19.5" customHeight="1"/>
    <row r="764" ht="19.5" customHeight="1"/>
    <row r="765" ht="19.5" customHeight="1"/>
    <row r="766" ht="19.5" customHeight="1"/>
    <row r="767" ht="19.5" customHeight="1"/>
    <row r="768" ht="19.5" customHeight="1"/>
    <row r="769" ht="19.5" customHeight="1"/>
    <row r="770" ht="19.5" customHeight="1"/>
    <row r="771" ht="19.5" customHeight="1"/>
    <row r="772" ht="19.5" customHeight="1"/>
    <row r="773" ht="19.5" customHeight="1"/>
    <row r="774" ht="19.5" customHeight="1"/>
    <row r="775" ht="19.5" customHeight="1"/>
    <row r="776" ht="19.5" customHeight="1"/>
    <row r="777" ht="19.5" customHeight="1"/>
    <row r="778" ht="19.5" customHeight="1"/>
    <row r="779" ht="19.5" customHeight="1"/>
    <row r="780" ht="19.5" customHeight="1"/>
    <row r="781" ht="19.5" customHeight="1"/>
    <row r="782" ht="19.5" customHeight="1"/>
    <row r="783" ht="19.5" customHeight="1"/>
    <row r="784" ht="19.5" customHeight="1"/>
    <row r="785" ht="19.5" customHeight="1"/>
    <row r="786" ht="19.5" customHeight="1"/>
    <row r="787" ht="19.5" customHeight="1"/>
    <row r="788" ht="19.5" customHeight="1"/>
    <row r="789" ht="19.5" customHeight="1"/>
    <row r="790" ht="19.5" customHeight="1"/>
    <row r="791" ht="19.5" customHeight="1"/>
    <row r="792" ht="19.5" customHeight="1"/>
    <row r="793" ht="19.5" customHeight="1"/>
    <row r="794" ht="19.5" customHeight="1"/>
    <row r="795" ht="19.5" customHeight="1"/>
    <row r="796" ht="19.5" customHeight="1"/>
    <row r="797" ht="19.5" customHeight="1"/>
    <row r="798" ht="19.5" customHeight="1"/>
    <row r="799" ht="19.5" customHeight="1"/>
    <row r="800" ht="19.5" customHeight="1"/>
    <row r="801" ht="19.5" customHeight="1"/>
    <row r="802" ht="19.5" customHeight="1"/>
    <row r="803" ht="19.5" customHeight="1"/>
    <row r="804" ht="19.5" customHeight="1"/>
    <row r="805" ht="19.5" customHeight="1"/>
    <row r="806" ht="19.5" customHeight="1"/>
    <row r="807" ht="19.5" customHeight="1"/>
    <row r="808" ht="19.5" customHeight="1"/>
    <row r="809" ht="19.5" customHeight="1"/>
    <row r="810" ht="19.5" customHeight="1"/>
    <row r="811" ht="19.5" customHeight="1"/>
    <row r="812" ht="19.5" customHeight="1"/>
    <row r="813" ht="19.5" customHeight="1"/>
    <row r="814" ht="19.5" customHeight="1"/>
    <row r="815" ht="19.5" customHeight="1"/>
    <row r="816" ht="19.5" customHeight="1"/>
    <row r="817" ht="19.5" customHeight="1"/>
    <row r="818" ht="19.5" customHeight="1"/>
    <row r="819" ht="19.5" customHeight="1"/>
    <row r="820" ht="19.5" customHeight="1"/>
    <row r="821" ht="19.5" customHeight="1"/>
    <row r="822" ht="19.5" customHeight="1"/>
    <row r="823" ht="19.5" customHeight="1"/>
    <row r="824" ht="19.5" customHeight="1"/>
    <row r="825" ht="19.5" customHeight="1"/>
    <row r="826" ht="19.5" customHeight="1"/>
    <row r="827" ht="19.5" customHeight="1"/>
    <row r="828" ht="19.5" customHeight="1"/>
    <row r="829" ht="19.5" customHeight="1"/>
    <row r="830" ht="19.5" customHeight="1"/>
    <row r="831" ht="19.5" customHeight="1"/>
    <row r="832" ht="19.5" customHeight="1"/>
    <row r="833" ht="19.5" customHeight="1"/>
    <row r="834" ht="19.5" customHeight="1"/>
    <row r="835" ht="19.5" customHeight="1"/>
    <row r="836" ht="19.5" customHeight="1"/>
    <row r="837" ht="19.5" customHeight="1"/>
    <row r="838" ht="19.5" customHeight="1"/>
    <row r="839" ht="19.5" customHeight="1"/>
    <row r="840" ht="19.5" customHeight="1"/>
    <row r="841" ht="19.5" customHeight="1"/>
    <row r="842" ht="19.5" customHeight="1"/>
    <row r="843" ht="19.5" customHeight="1"/>
    <row r="844" ht="19.5" customHeight="1"/>
    <row r="845" ht="19.5" customHeight="1"/>
    <row r="846" ht="19.5" customHeight="1"/>
    <row r="847" ht="19.5" customHeight="1"/>
    <row r="848" ht="19.5" customHeight="1"/>
    <row r="849" ht="19.5" customHeight="1"/>
    <row r="850" ht="19.5" customHeight="1"/>
    <row r="851" ht="19.5" customHeight="1"/>
    <row r="852" ht="19.5" customHeight="1"/>
    <row r="853" ht="19.5" customHeight="1"/>
    <row r="854" ht="19.5" customHeight="1"/>
    <row r="855" ht="19.5" customHeight="1"/>
    <row r="856" ht="19.5" customHeight="1"/>
    <row r="857" ht="19.5" customHeight="1"/>
    <row r="858" ht="19.5" customHeight="1"/>
    <row r="859" ht="19.5" customHeight="1"/>
    <row r="860" ht="19.5" customHeight="1"/>
    <row r="861" ht="19.5" customHeight="1"/>
    <row r="862" ht="19.5" customHeight="1"/>
    <row r="863" ht="19.5" customHeight="1"/>
    <row r="864" ht="19.5" customHeight="1"/>
    <row r="865" ht="19.5" customHeight="1"/>
    <row r="866" ht="19.5" customHeight="1"/>
    <row r="867" ht="19.5" customHeight="1"/>
    <row r="868" ht="19.5" customHeight="1"/>
    <row r="869" ht="19.5" customHeight="1"/>
    <row r="870" ht="19.5" customHeight="1"/>
    <row r="871" ht="19.5" customHeight="1"/>
    <row r="872" ht="19.5" customHeight="1"/>
    <row r="873" ht="19.5" customHeight="1"/>
    <row r="874" ht="19.5" customHeight="1"/>
    <row r="875" ht="19.5" customHeight="1"/>
    <row r="876" ht="19.5" customHeight="1"/>
    <row r="877" ht="19.5" customHeight="1"/>
    <row r="878" ht="19.5" customHeight="1"/>
    <row r="879" ht="19.5" customHeight="1"/>
    <row r="880" ht="19.5" customHeight="1"/>
    <row r="881" ht="19.5" customHeight="1"/>
    <row r="882" ht="19.5" customHeight="1"/>
    <row r="883" ht="19.5" customHeight="1"/>
    <row r="884" ht="19.5" customHeight="1"/>
    <row r="885" ht="19.5" customHeight="1"/>
    <row r="886" ht="19.5" customHeight="1"/>
    <row r="887" ht="19.5" customHeight="1"/>
    <row r="888" ht="19.5" customHeight="1"/>
    <row r="889" ht="19.5" customHeight="1"/>
    <row r="890" ht="19.5" customHeight="1"/>
    <row r="891" ht="19.5" customHeight="1"/>
    <row r="892" ht="19.5" customHeight="1"/>
    <row r="893" ht="19.5" customHeight="1"/>
    <row r="894" ht="19.5" customHeight="1"/>
    <row r="895" ht="19.5" customHeight="1"/>
    <row r="896" ht="19.5" customHeight="1"/>
    <row r="897" ht="19.5" customHeight="1"/>
    <row r="898" ht="19.5" customHeight="1"/>
    <row r="899" ht="19.5" customHeight="1"/>
    <row r="900" ht="19.5" customHeight="1"/>
    <row r="901" ht="19.5" customHeight="1"/>
    <row r="902" ht="19.5" customHeight="1"/>
    <row r="903" ht="19.5" customHeight="1"/>
    <row r="904" ht="19.5" customHeight="1"/>
    <row r="905" ht="19.5" customHeight="1"/>
    <row r="906" ht="19.5" customHeight="1"/>
    <row r="907" ht="19.5" customHeight="1"/>
    <row r="908" ht="19.5" customHeight="1"/>
    <row r="909" ht="19.5" customHeight="1"/>
    <row r="910" ht="19.5" customHeight="1"/>
    <row r="911" ht="19.5" customHeight="1"/>
    <row r="912" ht="19.5" customHeight="1"/>
    <row r="913" ht="19.5" customHeight="1"/>
    <row r="914" ht="19.5" customHeight="1"/>
    <row r="915" ht="19.5" customHeight="1"/>
    <row r="916" ht="19.5" customHeight="1"/>
    <row r="917" ht="19.5" customHeight="1"/>
    <row r="918" ht="19.5" customHeight="1"/>
    <row r="919" ht="19.5" customHeight="1"/>
    <row r="920" ht="19.5" customHeight="1"/>
    <row r="921" ht="19.5" customHeight="1"/>
    <row r="922" ht="19.5" customHeight="1"/>
    <row r="923" ht="19.5" customHeight="1"/>
    <row r="924" ht="19.5" customHeight="1"/>
    <row r="925" ht="19.5" customHeight="1"/>
    <row r="926" ht="19.5" customHeight="1"/>
    <row r="927" ht="19.5" customHeight="1"/>
    <row r="928" ht="19.5" customHeight="1"/>
    <row r="929" ht="19.5" customHeight="1"/>
    <row r="930" ht="19.5" customHeight="1"/>
    <row r="931" ht="19.5" customHeight="1"/>
    <row r="932" ht="19.5" customHeight="1"/>
    <row r="933" ht="19.5" customHeight="1"/>
    <row r="934" ht="19.5" customHeight="1"/>
    <row r="935" ht="19.5" customHeight="1"/>
    <row r="936" ht="19.5" customHeight="1"/>
    <row r="937" ht="19.5" customHeight="1"/>
    <row r="938" ht="19.5" customHeight="1"/>
    <row r="939" ht="19.5" customHeight="1"/>
    <row r="940" ht="19.5" customHeight="1"/>
    <row r="941" ht="19.5" customHeight="1"/>
    <row r="942" ht="19.5" customHeight="1"/>
    <row r="943" ht="19.5" customHeight="1"/>
    <row r="944" ht="19.5" customHeight="1"/>
    <row r="945" ht="19.5" customHeight="1"/>
    <row r="946" ht="19.5" customHeight="1"/>
    <row r="947" ht="19.5" customHeight="1"/>
    <row r="948" ht="19.5" customHeight="1"/>
    <row r="949" ht="19.5" customHeight="1"/>
    <row r="950" ht="19.5" customHeight="1"/>
    <row r="951" ht="19.5" customHeight="1"/>
    <row r="952" ht="19.5" customHeight="1"/>
    <row r="953" ht="19.5" customHeight="1"/>
    <row r="954" ht="19.5" customHeight="1"/>
    <row r="955" ht="19.5" customHeight="1"/>
    <row r="956" ht="19.5" customHeight="1"/>
    <row r="957" ht="19.5" customHeight="1"/>
    <row r="958" ht="19.5" customHeight="1"/>
    <row r="959" ht="19.5" customHeight="1"/>
    <row r="960" ht="19.5" customHeight="1"/>
    <row r="961" ht="19.5" customHeight="1"/>
    <row r="962" ht="19.5" customHeight="1"/>
    <row r="963" ht="19.5" customHeight="1"/>
    <row r="964" ht="19.5" customHeight="1"/>
    <row r="965" ht="19.5" customHeight="1"/>
    <row r="966" ht="19.5" customHeight="1"/>
    <row r="967" ht="19.5" customHeight="1"/>
    <row r="968" ht="19.5" customHeight="1"/>
    <row r="969" ht="19.5" customHeight="1"/>
    <row r="970" ht="19.5" customHeight="1"/>
    <row r="971" ht="19.5" customHeight="1"/>
    <row r="972" ht="19.5" customHeight="1"/>
    <row r="973" ht="19.5" customHeight="1"/>
    <row r="974" ht="19.5" customHeight="1"/>
    <row r="975" ht="19.5" customHeight="1"/>
    <row r="976" ht="19.5" customHeight="1"/>
    <row r="977" ht="19.5" customHeight="1"/>
    <row r="978" ht="19.5" customHeight="1"/>
    <row r="979" ht="19.5" customHeight="1"/>
    <row r="980" ht="19.5" customHeight="1"/>
    <row r="981" ht="19.5" customHeight="1"/>
    <row r="982" ht="19.5" customHeight="1"/>
    <row r="983" ht="19.5" customHeight="1"/>
    <row r="984" ht="19.5" customHeight="1"/>
    <row r="985" ht="19.5" customHeight="1"/>
    <row r="986" ht="19.5" customHeight="1"/>
    <row r="987" ht="19.5" customHeight="1"/>
    <row r="988" ht="19.5" customHeight="1"/>
    <row r="989" ht="19.5" customHeight="1"/>
    <row r="990" ht="19.5" customHeight="1"/>
    <row r="991" ht="19.5" customHeight="1"/>
    <row r="992" ht="19.5" customHeight="1"/>
    <row r="993" ht="19.5" customHeight="1"/>
    <row r="994" ht="19.5" customHeight="1"/>
    <row r="995" ht="19.5" customHeight="1"/>
    <row r="996" ht="19.5" customHeight="1"/>
    <row r="997" ht="19.5" customHeight="1"/>
    <row r="998" ht="19.5" customHeight="1"/>
    <row r="999" ht="19.5" customHeight="1"/>
    <row r="1000" ht="19.5" customHeight="1"/>
  </sheetData>
  <mergeCells count="3">
    <mergeCell ref="A1:E1"/>
    <mergeCell ref="A3:E3"/>
    <mergeCell ref="A5:E5"/>
  </mergeCells>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71"/>
    <col customWidth="1" min="4" max="4" width="10.71"/>
    <col customWidth="1" min="5" max="6" width="8.71"/>
    <col customWidth="1" min="7" max="7" width="57.57"/>
    <col customWidth="1" min="8" max="8" width="14.0"/>
    <col customWidth="1" min="9" max="26" width="8.71"/>
  </cols>
  <sheetData>
    <row r="1" ht="45.75" customHeight="1">
      <c r="A1" s="25" t="s">
        <v>71</v>
      </c>
    </row>
    <row r="2" ht="14.25" customHeight="1"/>
    <row r="3" ht="32.25" customHeight="1">
      <c r="A3" s="26" t="s">
        <v>72</v>
      </c>
    </row>
    <row r="4" ht="14.25" customHeight="1">
      <c r="A4" s="27" t="s">
        <v>73</v>
      </c>
    </row>
    <row r="5" ht="14.25" customHeight="1"/>
    <row r="6" ht="14.25" customHeight="1">
      <c r="A6" s="28" t="s">
        <v>74</v>
      </c>
    </row>
    <row r="7" ht="14.25" customHeight="1"/>
    <row r="8" ht="71.25" customHeight="1">
      <c r="A8" s="29" t="s">
        <v>75</v>
      </c>
      <c r="B8" s="30"/>
      <c r="C8" s="30"/>
      <c r="D8" s="30"/>
      <c r="E8" s="30"/>
      <c r="F8" s="30"/>
      <c r="G8" s="30"/>
    </row>
    <row r="9" ht="14.25" customHeight="1">
      <c r="A9" s="31" t="s">
        <v>76</v>
      </c>
      <c r="B9" s="32"/>
      <c r="C9" s="32"/>
      <c r="D9" s="32"/>
      <c r="E9" s="32"/>
      <c r="F9" s="32"/>
      <c r="G9" s="33"/>
      <c r="H9" s="33"/>
      <c r="I9" s="33"/>
      <c r="J9" s="33"/>
      <c r="K9" s="33"/>
      <c r="L9" s="33"/>
      <c r="M9" s="33"/>
      <c r="N9" s="33"/>
      <c r="O9" s="33"/>
      <c r="P9" s="33"/>
      <c r="Q9" s="33"/>
      <c r="R9" s="33"/>
      <c r="S9" s="33"/>
      <c r="T9" s="33"/>
      <c r="U9" s="33"/>
      <c r="V9" s="33"/>
      <c r="W9" s="33"/>
      <c r="X9" s="33"/>
      <c r="Y9" s="33"/>
      <c r="Z9" s="33"/>
    </row>
    <row r="10" ht="14.25" customHeight="1">
      <c r="A10" s="33"/>
      <c r="B10" s="33"/>
      <c r="C10" s="33"/>
      <c r="D10" s="33"/>
      <c r="E10" s="33"/>
      <c r="F10" s="33"/>
      <c r="G10" s="33"/>
      <c r="H10" s="33"/>
      <c r="I10" s="33"/>
      <c r="J10" s="33"/>
      <c r="K10" s="33"/>
      <c r="L10" s="33"/>
      <c r="M10" s="33"/>
      <c r="N10" s="33"/>
      <c r="O10" s="33"/>
      <c r="P10" s="33"/>
      <c r="Q10" s="33"/>
      <c r="R10" s="33"/>
      <c r="S10" s="33"/>
      <c r="T10" s="33"/>
      <c r="U10" s="33"/>
      <c r="V10" s="33"/>
      <c r="W10" s="33"/>
      <c r="X10" s="33"/>
      <c r="Y10" s="33"/>
      <c r="Z10" s="33"/>
    </row>
    <row r="11" ht="14.25" customHeight="1">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row>
    <row r="12" ht="14.25" customHeight="1">
      <c r="A12" s="34" t="s">
        <v>77</v>
      </c>
      <c r="B12" s="34" t="s">
        <v>78</v>
      </c>
      <c r="C12" s="35" t="s">
        <v>79</v>
      </c>
      <c r="D12" s="36" t="s">
        <v>80</v>
      </c>
      <c r="E12" s="33"/>
      <c r="F12" s="33"/>
      <c r="G12" s="37" t="s">
        <v>81</v>
      </c>
      <c r="H12" s="33"/>
      <c r="I12" s="33"/>
      <c r="J12" s="33"/>
      <c r="K12" s="33"/>
      <c r="L12" s="33"/>
      <c r="M12" s="33"/>
      <c r="N12" s="33"/>
      <c r="O12" s="33"/>
      <c r="P12" s="33"/>
      <c r="Q12" s="33"/>
      <c r="R12" s="33"/>
      <c r="S12" s="33"/>
      <c r="T12" s="33"/>
      <c r="U12" s="33"/>
      <c r="V12" s="33"/>
      <c r="W12" s="33"/>
      <c r="X12" s="33"/>
      <c r="Y12" s="33"/>
      <c r="Z12" s="33"/>
    </row>
    <row r="13" ht="14.25" customHeight="1">
      <c r="A13" s="38" t="s">
        <v>82</v>
      </c>
      <c r="B13" s="39" t="s">
        <v>83</v>
      </c>
      <c r="C13" s="39" t="s">
        <v>84</v>
      </c>
      <c r="D13" s="40">
        <v>4378.0</v>
      </c>
      <c r="E13" s="33"/>
      <c r="F13" s="33"/>
      <c r="G13" s="41" t="s">
        <v>85</v>
      </c>
      <c r="H13" s="33"/>
      <c r="I13" s="33"/>
      <c r="J13" s="33"/>
      <c r="K13" s="33"/>
      <c r="L13" s="33"/>
      <c r="M13" s="33"/>
      <c r="N13" s="33"/>
      <c r="O13" s="33"/>
      <c r="P13" s="33"/>
      <c r="Q13" s="33"/>
      <c r="R13" s="33"/>
      <c r="S13" s="33"/>
      <c r="T13" s="33"/>
      <c r="U13" s="33"/>
      <c r="V13" s="33"/>
      <c r="W13" s="33"/>
      <c r="X13" s="33"/>
      <c r="Y13" s="33"/>
      <c r="Z13" s="33"/>
    </row>
    <row r="14" ht="14.25" customHeight="1">
      <c r="A14" s="38" t="s">
        <v>82</v>
      </c>
      <c r="B14" s="39" t="s">
        <v>83</v>
      </c>
      <c r="C14" s="39" t="s">
        <v>86</v>
      </c>
      <c r="D14" s="40">
        <v>5254.0</v>
      </c>
      <c r="E14" s="33"/>
      <c r="F14" s="33"/>
      <c r="G14" s="42"/>
      <c r="H14" s="33"/>
      <c r="I14" s="33"/>
      <c r="J14" s="33"/>
      <c r="K14" s="33"/>
      <c r="L14" s="33"/>
      <c r="M14" s="33"/>
      <c r="N14" s="33"/>
      <c r="O14" s="33"/>
      <c r="P14" s="33"/>
      <c r="Q14" s="33"/>
      <c r="R14" s="33"/>
      <c r="S14" s="33"/>
      <c r="T14" s="33"/>
      <c r="U14" s="33"/>
      <c r="V14" s="33"/>
      <c r="W14" s="33"/>
      <c r="X14" s="33"/>
      <c r="Y14" s="33"/>
      <c r="Z14" s="33"/>
    </row>
    <row r="15" ht="14.25" customHeight="1">
      <c r="A15" s="38" t="s">
        <v>82</v>
      </c>
      <c r="B15" s="39" t="s">
        <v>83</v>
      </c>
      <c r="C15" s="39" t="s">
        <v>87</v>
      </c>
      <c r="D15" s="40">
        <v>6130.0</v>
      </c>
      <c r="E15" s="33"/>
      <c r="F15" s="33"/>
      <c r="G15" s="43"/>
      <c r="H15" s="33"/>
      <c r="I15" s="33"/>
      <c r="J15" s="33"/>
      <c r="K15" s="33"/>
      <c r="L15" s="33"/>
      <c r="M15" s="33"/>
      <c r="N15" s="33"/>
      <c r="O15" s="33"/>
      <c r="P15" s="33"/>
      <c r="Q15" s="33"/>
      <c r="R15" s="33"/>
      <c r="S15" s="33"/>
      <c r="T15" s="33"/>
      <c r="U15" s="33"/>
      <c r="V15" s="33"/>
      <c r="W15" s="33"/>
      <c r="X15" s="33"/>
      <c r="Y15" s="33"/>
      <c r="Z15" s="33"/>
    </row>
    <row r="16" ht="18.0" customHeight="1">
      <c r="A16" s="38" t="s">
        <v>82</v>
      </c>
      <c r="B16" s="39" t="s">
        <v>83</v>
      </c>
      <c r="C16" s="39" t="s">
        <v>88</v>
      </c>
      <c r="D16" s="40">
        <v>7443.0</v>
      </c>
      <c r="E16" s="33"/>
      <c r="F16" s="33"/>
      <c r="G16" s="43"/>
      <c r="H16" s="33"/>
      <c r="I16" s="33"/>
      <c r="J16" s="33"/>
      <c r="K16" s="33"/>
      <c r="L16" s="33"/>
      <c r="M16" s="33"/>
      <c r="N16" s="33"/>
      <c r="O16" s="33"/>
      <c r="P16" s="33"/>
      <c r="Q16" s="33"/>
      <c r="R16" s="33"/>
      <c r="S16" s="33"/>
      <c r="T16" s="33"/>
      <c r="U16" s="33"/>
      <c r="V16" s="33"/>
      <c r="W16" s="33"/>
      <c r="X16" s="33"/>
      <c r="Y16" s="33"/>
      <c r="Z16" s="33"/>
    </row>
    <row r="17" ht="14.25" customHeight="1">
      <c r="A17" s="38" t="s">
        <v>82</v>
      </c>
      <c r="B17" s="39" t="s">
        <v>83</v>
      </c>
      <c r="C17" s="39" t="s">
        <v>89</v>
      </c>
      <c r="D17" s="40">
        <v>13135.0</v>
      </c>
      <c r="E17" s="33"/>
      <c r="F17" s="33"/>
      <c r="G17" s="37" t="s">
        <v>90</v>
      </c>
      <c r="H17" s="33"/>
      <c r="I17" s="33"/>
      <c r="J17" s="33"/>
      <c r="K17" s="33"/>
      <c r="L17" s="33"/>
      <c r="M17" s="33"/>
      <c r="N17" s="33"/>
      <c r="O17" s="33"/>
      <c r="P17" s="33"/>
      <c r="Q17" s="33"/>
      <c r="R17" s="33"/>
      <c r="S17" s="33"/>
      <c r="T17" s="33"/>
      <c r="U17" s="33"/>
      <c r="V17" s="33"/>
      <c r="W17" s="33"/>
      <c r="X17" s="33"/>
      <c r="Y17" s="33"/>
      <c r="Z17" s="33"/>
    </row>
    <row r="18" ht="14.25" customHeight="1">
      <c r="A18" s="38" t="s">
        <v>82</v>
      </c>
      <c r="B18" s="39" t="s">
        <v>83</v>
      </c>
      <c r="C18" s="39" t="s">
        <v>91</v>
      </c>
      <c r="D18" s="40">
        <v>7443.0</v>
      </c>
      <c r="E18" s="33"/>
      <c r="F18" s="33"/>
      <c r="G18" s="44" t="s">
        <v>77</v>
      </c>
      <c r="H18" s="45" t="s">
        <v>82</v>
      </c>
      <c r="I18" s="33"/>
      <c r="J18" s="33"/>
      <c r="K18" s="33"/>
      <c r="L18" s="33"/>
      <c r="M18" s="33"/>
      <c r="N18" s="33"/>
      <c r="O18" s="33"/>
      <c r="P18" s="33"/>
      <c r="Q18" s="33"/>
      <c r="R18" s="33"/>
      <c r="S18" s="33"/>
      <c r="T18" s="33"/>
      <c r="U18" s="33"/>
      <c r="V18" s="33"/>
      <c r="W18" s="33"/>
      <c r="X18" s="33"/>
      <c r="Y18" s="33"/>
      <c r="Z18" s="33"/>
    </row>
    <row r="19" ht="14.25" customHeight="1">
      <c r="A19" s="38" t="s">
        <v>82</v>
      </c>
      <c r="B19" s="39" t="s">
        <v>92</v>
      </c>
      <c r="C19" s="39" t="s">
        <v>84</v>
      </c>
      <c r="D19" s="40">
        <v>15890.0</v>
      </c>
      <c r="E19" s="33"/>
      <c r="F19" s="33"/>
      <c r="G19" s="44" t="s">
        <v>78</v>
      </c>
      <c r="H19" s="45" t="s">
        <v>83</v>
      </c>
      <c r="I19" s="33"/>
      <c r="J19" s="33"/>
      <c r="K19" s="33"/>
      <c r="L19" s="33"/>
      <c r="M19" s="33"/>
      <c r="N19" s="33"/>
      <c r="O19" s="33"/>
      <c r="P19" s="33"/>
      <c r="Q19" s="33"/>
      <c r="R19" s="33"/>
      <c r="S19" s="33"/>
      <c r="T19" s="33"/>
      <c r="U19" s="33"/>
      <c r="V19" s="33"/>
      <c r="W19" s="33"/>
      <c r="X19" s="33"/>
      <c r="Y19" s="33"/>
      <c r="Z19" s="33"/>
    </row>
    <row r="20" ht="14.25" customHeight="1">
      <c r="A20" s="38" t="s">
        <v>82</v>
      </c>
      <c r="B20" s="39" t="s">
        <v>92</v>
      </c>
      <c r="C20" s="39" t="s">
        <v>86</v>
      </c>
      <c r="D20" s="40">
        <v>11917.0</v>
      </c>
      <c r="E20" s="33"/>
      <c r="F20" s="33"/>
      <c r="G20" s="43"/>
      <c r="H20" s="33"/>
      <c r="I20" s="33"/>
      <c r="J20" s="33"/>
      <c r="K20" s="33"/>
      <c r="L20" s="33"/>
      <c r="M20" s="33"/>
      <c r="N20" s="33"/>
      <c r="O20" s="33"/>
      <c r="P20" s="33"/>
      <c r="Q20" s="33"/>
      <c r="R20" s="33"/>
      <c r="S20" s="33"/>
      <c r="T20" s="33"/>
      <c r="U20" s="33"/>
      <c r="V20" s="33"/>
      <c r="W20" s="33"/>
      <c r="X20" s="33"/>
      <c r="Y20" s="33"/>
      <c r="Z20" s="33"/>
    </row>
    <row r="21" ht="14.25" customHeight="1">
      <c r="A21" s="38" t="s">
        <v>82</v>
      </c>
      <c r="B21" s="39" t="s">
        <v>92</v>
      </c>
      <c r="C21" s="39" t="s">
        <v>87</v>
      </c>
      <c r="D21" s="40">
        <v>1490.0</v>
      </c>
      <c r="E21" s="33"/>
      <c r="F21" s="33"/>
      <c r="G21" s="42"/>
      <c r="H21" s="33"/>
      <c r="I21" s="33"/>
      <c r="J21" s="33"/>
      <c r="K21" s="33"/>
      <c r="L21" s="33"/>
      <c r="M21" s="33"/>
      <c r="N21" s="33"/>
      <c r="O21" s="33"/>
      <c r="P21" s="33"/>
      <c r="Q21" s="33"/>
      <c r="R21" s="33"/>
      <c r="S21" s="33"/>
      <c r="T21" s="33"/>
      <c r="U21" s="33"/>
      <c r="V21" s="33"/>
      <c r="W21" s="33"/>
      <c r="X21" s="33"/>
      <c r="Y21" s="33"/>
      <c r="Z21" s="33"/>
    </row>
    <row r="22" ht="15.0" customHeight="1">
      <c r="A22" s="38" t="s">
        <v>82</v>
      </c>
      <c r="B22" s="39" t="s">
        <v>92</v>
      </c>
      <c r="C22" s="39" t="s">
        <v>88</v>
      </c>
      <c r="D22" s="46">
        <v>497.0</v>
      </c>
      <c r="E22" s="33"/>
      <c r="F22" s="33"/>
      <c r="G22" s="43"/>
      <c r="H22" s="33"/>
      <c r="I22" s="33"/>
      <c r="J22" s="33"/>
      <c r="K22" s="33"/>
      <c r="L22" s="33"/>
      <c r="M22" s="33"/>
      <c r="N22" s="33"/>
      <c r="O22" s="33"/>
      <c r="P22" s="33"/>
      <c r="Q22" s="33"/>
      <c r="R22" s="33"/>
      <c r="S22" s="33"/>
      <c r="T22" s="33"/>
      <c r="U22" s="33"/>
      <c r="V22" s="33"/>
      <c r="W22" s="33"/>
      <c r="X22" s="33"/>
      <c r="Y22" s="33"/>
      <c r="Z22" s="33"/>
    </row>
    <row r="23" ht="14.25" customHeight="1">
      <c r="A23" s="38" t="s">
        <v>82</v>
      </c>
      <c r="B23" s="39" t="s">
        <v>92</v>
      </c>
      <c r="C23" s="39" t="s">
        <v>89</v>
      </c>
      <c r="D23" s="46">
        <v>993.0</v>
      </c>
      <c r="E23" s="33"/>
      <c r="F23" s="33"/>
      <c r="G23" s="37" t="s">
        <v>93</v>
      </c>
      <c r="H23" s="33"/>
      <c r="I23" s="33"/>
      <c r="J23" s="33"/>
      <c r="K23" s="33"/>
      <c r="L23" s="33"/>
      <c r="M23" s="33"/>
      <c r="N23" s="33"/>
      <c r="O23" s="33"/>
      <c r="P23" s="33"/>
      <c r="Q23" s="33"/>
      <c r="R23" s="33"/>
      <c r="S23" s="33"/>
      <c r="T23" s="33"/>
      <c r="U23" s="33"/>
      <c r="V23" s="33"/>
      <c r="W23" s="33"/>
      <c r="X23" s="33"/>
      <c r="Y23" s="33"/>
      <c r="Z23" s="33"/>
    </row>
    <row r="24" ht="14.25" customHeight="1">
      <c r="A24" s="38" t="s">
        <v>82</v>
      </c>
      <c r="B24" s="39" t="s">
        <v>92</v>
      </c>
      <c r="C24" s="39" t="s">
        <v>94</v>
      </c>
      <c r="D24" s="40">
        <v>2483.0</v>
      </c>
      <c r="E24" s="33"/>
      <c r="F24" s="33"/>
      <c r="G24" s="47" t="s">
        <v>77</v>
      </c>
      <c r="H24" s="38" t="s">
        <v>95</v>
      </c>
      <c r="J24" s="33"/>
      <c r="K24" s="33"/>
      <c r="L24" s="33"/>
      <c r="M24" s="33"/>
      <c r="N24" s="33"/>
      <c r="O24" s="33"/>
      <c r="P24" s="33"/>
      <c r="Q24" s="33"/>
      <c r="R24" s="33"/>
      <c r="S24" s="33"/>
      <c r="T24" s="33"/>
      <c r="U24" s="33"/>
      <c r="V24" s="33"/>
      <c r="W24" s="33"/>
      <c r="X24" s="33"/>
      <c r="Y24" s="33"/>
      <c r="Z24" s="33"/>
    </row>
    <row r="25" ht="14.25" customHeight="1">
      <c r="A25" s="38" t="s">
        <v>82</v>
      </c>
      <c r="B25" s="39" t="s">
        <v>92</v>
      </c>
      <c r="C25" s="39" t="s">
        <v>96</v>
      </c>
      <c r="D25" s="40">
        <v>2979.0</v>
      </c>
      <c r="E25" s="33"/>
      <c r="F25" s="33"/>
      <c r="G25" s="47" t="s">
        <v>78</v>
      </c>
      <c r="H25" s="38" t="s">
        <v>97</v>
      </c>
      <c r="I25" s="33"/>
      <c r="J25" s="33"/>
      <c r="K25" s="33"/>
      <c r="L25" s="33"/>
      <c r="M25" s="33"/>
      <c r="N25" s="33"/>
      <c r="O25" s="33"/>
      <c r="P25" s="33"/>
      <c r="Q25" s="33"/>
      <c r="R25" s="33"/>
      <c r="S25" s="33"/>
      <c r="T25" s="33"/>
      <c r="U25" s="33"/>
      <c r="V25" s="33"/>
      <c r="W25" s="33"/>
      <c r="X25" s="33"/>
      <c r="Y25" s="33"/>
      <c r="Z25" s="33"/>
    </row>
    <row r="26" ht="14.25" customHeight="1">
      <c r="A26" s="38" t="s">
        <v>82</v>
      </c>
      <c r="B26" s="39" t="s">
        <v>92</v>
      </c>
      <c r="C26" s="39" t="s">
        <v>98</v>
      </c>
      <c r="D26" s="40">
        <v>3972.0</v>
      </c>
      <c r="E26" s="33"/>
      <c r="F26" s="33"/>
      <c r="G26" s="43"/>
      <c r="H26" s="33"/>
      <c r="I26" s="33"/>
      <c r="J26" s="33"/>
      <c r="K26" s="33"/>
      <c r="L26" s="33"/>
      <c r="M26" s="33"/>
      <c r="N26" s="33"/>
      <c r="O26" s="33"/>
      <c r="P26" s="33"/>
      <c r="Q26" s="33"/>
      <c r="R26" s="33"/>
      <c r="S26" s="33"/>
      <c r="T26" s="33"/>
      <c r="U26" s="33"/>
      <c r="V26" s="33"/>
      <c r="W26" s="33"/>
      <c r="X26" s="33"/>
      <c r="Y26" s="33"/>
      <c r="Z26" s="33"/>
    </row>
    <row r="27" ht="14.25" customHeight="1">
      <c r="A27" s="38" t="s">
        <v>82</v>
      </c>
      <c r="B27" s="39" t="s">
        <v>92</v>
      </c>
      <c r="C27" s="39" t="s">
        <v>99</v>
      </c>
      <c r="D27" s="40">
        <v>4469.0</v>
      </c>
      <c r="E27" s="33"/>
      <c r="F27" s="33"/>
      <c r="G27" s="42"/>
      <c r="H27" s="33"/>
      <c r="I27" s="33"/>
      <c r="J27" s="33"/>
      <c r="K27" s="33"/>
      <c r="L27" s="33"/>
      <c r="M27" s="33"/>
      <c r="N27" s="33"/>
      <c r="O27" s="33"/>
      <c r="P27" s="33"/>
      <c r="Q27" s="33"/>
      <c r="R27" s="33"/>
      <c r="S27" s="33"/>
      <c r="T27" s="33"/>
      <c r="U27" s="33"/>
      <c r="V27" s="33"/>
      <c r="W27" s="33"/>
      <c r="X27" s="33"/>
      <c r="Y27" s="33"/>
      <c r="Z27" s="33"/>
    </row>
    <row r="28" ht="14.25" customHeight="1">
      <c r="A28" s="38" t="s">
        <v>82</v>
      </c>
      <c r="B28" s="39" t="s">
        <v>92</v>
      </c>
      <c r="C28" s="39" t="s">
        <v>85</v>
      </c>
      <c r="D28" s="46">
        <v>993.0</v>
      </c>
      <c r="E28" s="33"/>
      <c r="F28" s="33"/>
      <c r="G28" s="48"/>
      <c r="H28" s="33"/>
      <c r="I28" s="33"/>
      <c r="J28" s="33"/>
      <c r="K28" s="33"/>
      <c r="L28" s="33"/>
      <c r="M28" s="33"/>
      <c r="N28" s="33"/>
      <c r="O28" s="33"/>
      <c r="P28" s="33"/>
      <c r="Q28" s="33"/>
      <c r="R28" s="33"/>
      <c r="S28" s="33"/>
      <c r="T28" s="33"/>
      <c r="U28" s="33"/>
      <c r="V28" s="33"/>
      <c r="W28" s="33"/>
      <c r="X28" s="33"/>
      <c r="Y28" s="33"/>
      <c r="Z28" s="33"/>
    </row>
    <row r="29" ht="14.25" customHeight="1">
      <c r="A29" s="38" t="s">
        <v>82</v>
      </c>
      <c r="B29" s="39" t="s">
        <v>92</v>
      </c>
      <c r="C29" s="39" t="s">
        <v>100</v>
      </c>
      <c r="D29" s="46">
        <v>497.0</v>
      </c>
      <c r="E29" s="33"/>
      <c r="F29" s="33"/>
      <c r="G29" s="33"/>
      <c r="H29" s="33"/>
      <c r="I29" s="33"/>
      <c r="J29" s="33"/>
      <c r="K29" s="33"/>
      <c r="L29" s="33"/>
      <c r="M29" s="33"/>
      <c r="N29" s="33"/>
      <c r="O29" s="33"/>
      <c r="P29" s="33"/>
      <c r="Q29" s="33"/>
      <c r="R29" s="33"/>
      <c r="S29" s="33"/>
      <c r="T29" s="33"/>
      <c r="U29" s="33"/>
      <c r="V29" s="33"/>
      <c r="W29" s="33"/>
      <c r="X29" s="33"/>
      <c r="Y29" s="33"/>
      <c r="Z29" s="33"/>
    </row>
    <row r="30" ht="14.25" customHeight="1">
      <c r="A30" s="38" t="s">
        <v>82</v>
      </c>
      <c r="B30" s="39" t="s">
        <v>92</v>
      </c>
      <c r="C30" s="39" t="s">
        <v>91</v>
      </c>
      <c r="D30" s="40">
        <v>3476.0</v>
      </c>
      <c r="E30" s="33"/>
      <c r="F30" s="33"/>
      <c r="G30" s="33"/>
      <c r="H30" s="33"/>
      <c r="I30" s="33"/>
      <c r="J30" s="33"/>
      <c r="K30" s="33"/>
      <c r="L30" s="33"/>
      <c r="M30" s="33"/>
      <c r="N30" s="33"/>
      <c r="O30" s="33"/>
      <c r="P30" s="33"/>
      <c r="Q30" s="33"/>
      <c r="R30" s="33"/>
      <c r="S30" s="33"/>
      <c r="T30" s="33"/>
      <c r="U30" s="33"/>
      <c r="V30" s="33"/>
      <c r="W30" s="33"/>
      <c r="X30" s="33"/>
      <c r="Y30" s="33"/>
      <c r="Z30" s="33"/>
    </row>
    <row r="31" ht="14.25" customHeight="1">
      <c r="A31" s="38" t="s">
        <v>82</v>
      </c>
      <c r="B31" s="39" t="s">
        <v>97</v>
      </c>
      <c r="C31" s="39" t="s">
        <v>84</v>
      </c>
      <c r="D31" s="40">
        <v>9267.0</v>
      </c>
      <c r="E31" s="33"/>
      <c r="F31" s="33"/>
      <c r="G31" s="33"/>
      <c r="H31" s="33"/>
      <c r="I31" s="33"/>
      <c r="J31" s="33"/>
      <c r="K31" s="33"/>
      <c r="L31" s="33"/>
      <c r="M31" s="33"/>
      <c r="N31" s="33"/>
      <c r="O31" s="33"/>
      <c r="P31" s="33"/>
      <c r="Q31" s="33"/>
      <c r="R31" s="33"/>
      <c r="S31" s="33"/>
      <c r="T31" s="33"/>
      <c r="U31" s="33"/>
      <c r="V31" s="33"/>
      <c r="W31" s="33"/>
      <c r="X31" s="33"/>
      <c r="Y31" s="33"/>
      <c r="Z31" s="33"/>
    </row>
    <row r="32" ht="14.25" customHeight="1">
      <c r="A32" s="38" t="s">
        <v>82</v>
      </c>
      <c r="B32" s="39" t="s">
        <v>97</v>
      </c>
      <c r="C32" s="39" t="s">
        <v>86</v>
      </c>
      <c r="D32" s="40">
        <v>9731.0</v>
      </c>
      <c r="E32" s="33"/>
      <c r="F32" s="33"/>
      <c r="G32" s="33"/>
      <c r="H32" s="33"/>
      <c r="I32" s="33"/>
      <c r="J32" s="33"/>
      <c r="K32" s="33"/>
      <c r="L32" s="33"/>
      <c r="M32" s="33"/>
      <c r="N32" s="33"/>
      <c r="O32" s="33"/>
      <c r="P32" s="33"/>
      <c r="Q32" s="33"/>
      <c r="R32" s="33"/>
      <c r="S32" s="33"/>
      <c r="T32" s="33"/>
      <c r="U32" s="33"/>
      <c r="V32" s="33"/>
      <c r="W32" s="33"/>
      <c r="X32" s="33"/>
      <c r="Y32" s="33"/>
      <c r="Z32" s="33"/>
    </row>
    <row r="33" ht="14.25" customHeight="1">
      <c r="A33" s="38" t="s">
        <v>82</v>
      </c>
      <c r="B33" s="39" t="s">
        <v>97</v>
      </c>
      <c r="C33" s="39" t="s">
        <v>87</v>
      </c>
      <c r="D33" s="40">
        <v>15754.0</v>
      </c>
      <c r="E33" s="33"/>
      <c r="F33" s="33"/>
      <c r="G33" s="33"/>
      <c r="H33" s="33"/>
      <c r="I33" s="33"/>
      <c r="J33" s="33"/>
      <c r="K33" s="33"/>
      <c r="L33" s="33"/>
      <c r="M33" s="33"/>
      <c r="N33" s="33"/>
      <c r="O33" s="33"/>
      <c r="P33" s="33"/>
      <c r="Q33" s="33"/>
      <c r="R33" s="33"/>
      <c r="S33" s="33"/>
      <c r="T33" s="33"/>
      <c r="U33" s="33"/>
      <c r="V33" s="33"/>
      <c r="W33" s="33"/>
      <c r="X33" s="33"/>
      <c r="Y33" s="33"/>
      <c r="Z33" s="33"/>
    </row>
    <row r="34" ht="14.25" customHeight="1">
      <c r="A34" s="38" t="s">
        <v>82</v>
      </c>
      <c r="B34" s="39" t="s">
        <v>97</v>
      </c>
      <c r="C34" s="39" t="s">
        <v>88</v>
      </c>
      <c r="D34" s="46">
        <v>0.0</v>
      </c>
      <c r="E34" s="33"/>
      <c r="F34" s="33"/>
      <c r="G34" s="33"/>
      <c r="H34" s="33"/>
      <c r="I34" s="33"/>
      <c r="J34" s="33"/>
      <c r="K34" s="33"/>
      <c r="L34" s="33"/>
      <c r="M34" s="33"/>
      <c r="N34" s="33"/>
      <c r="O34" s="33"/>
      <c r="P34" s="33"/>
      <c r="Q34" s="33"/>
      <c r="R34" s="33"/>
      <c r="S34" s="33"/>
      <c r="T34" s="33"/>
      <c r="U34" s="33"/>
      <c r="V34" s="33"/>
      <c r="W34" s="33"/>
      <c r="X34" s="33"/>
      <c r="Y34" s="33"/>
      <c r="Z34" s="33"/>
    </row>
    <row r="35" ht="14.25" customHeight="1">
      <c r="A35" s="38" t="s">
        <v>82</v>
      </c>
      <c r="B35" s="39" t="s">
        <v>97</v>
      </c>
      <c r="C35" s="39" t="s">
        <v>89</v>
      </c>
      <c r="D35" s="40">
        <v>1390.0</v>
      </c>
      <c r="E35" s="33"/>
      <c r="F35" s="33"/>
      <c r="G35" s="33"/>
      <c r="H35" s="33"/>
      <c r="I35" s="33"/>
      <c r="J35" s="33"/>
      <c r="K35" s="33"/>
      <c r="L35" s="33"/>
      <c r="M35" s="33"/>
      <c r="N35" s="33"/>
      <c r="O35" s="33"/>
      <c r="P35" s="33"/>
      <c r="Q35" s="33"/>
      <c r="R35" s="33"/>
      <c r="S35" s="33"/>
      <c r="T35" s="33"/>
      <c r="U35" s="33"/>
      <c r="V35" s="33"/>
      <c r="W35" s="33"/>
      <c r="X35" s="33"/>
      <c r="Y35" s="33"/>
      <c r="Z35" s="33"/>
    </row>
    <row r="36" ht="14.25" customHeight="1">
      <c r="A36" s="38" t="s">
        <v>82</v>
      </c>
      <c r="B36" s="39" t="s">
        <v>97</v>
      </c>
      <c r="C36" s="39" t="s">
        <v>94</v>
      </c>
      <c r="D36" s="40">
        <v>1853.0</v>
      </c>
      <c r="E36" s="33"/>
      <c r="F36" s="33"/>
      <c r="G36" s="33"/>
      <c r="H36" s="33"/>
      <c r="I36" s="33"/>
      <c r="J36" s="33"/>
      <c r="K36" s="33"/>
      <c r="L36" s="33"/>
      <c r="M36" s="33"/>
      <c r="N36" s="33"/>
      <c r="O36" s="33"/>
      <c r="P36" s="33"/>
      <c r="Q36" s="33"/>
      <c r="R36" s="33"/>
      <c r="S36" s="33"/>
      <c r="T36" s="33"/>
      <c r="U36" s="33"/>
      <c r="V36" s="33"/>
      <c r="W36" s="33"/>
      <c r="X36" s="33"/>
      <c r="Y36" s="33"/>
      <c r="Z36" s="33"/>
    </row>
    <row r="37" ht="14.25" customHeight="1">
      <c r="A37" s="38" t="s">
        <v>82</v>
      </c>
      <c r="B37" s="39" t="s">
        <v>97</v>
      </c>
      <c r="C37" s="39" t="s">
        <v>96</v>
      </c>
      <c r="D37" s="40">
        <v>2317.0</v>
      </c>
      <c r="E37" s="33"/>
      <c r="F37" s="33"/>
      <c r="G37" s="33"/>
      <c r="H37" s="33"/>
      <c r="I37" s="33"/>
      <c r="J37" s="33"/>
      <c r="K37" s="33"/>
      <c r="L37" s="33"/>
      <c r="M37" s="33"/>
      <c r="N37" s="33"/>
      <c r="O37" s="33"/>
      <c r="P37" s="33"/>
      <c r="Q37" s="33"/>
      <c r="R37" s="33"/>
      <c r="S37" s="33"/>
      <c r="T37" s="33"/>
      <c r="U37" s="33"/>
      <c r="V37" s="33"/>
      <c r="W37" s="33"/>
      <c r="X37" s="33"/>
      <c r="Y37" s="33"/>
      <c r="Z37" s="33"/>
    </row>
    <row r="38" ht="14.25" customHeight="1">
      <c r="A38" s="38" t="s">
        <v>82</v>
      </c>
      <c r="B38" s="39" t="s">
        <v>97</v>
      </c>
      <c r="C38" s="39" t="s">
        <v>98</v>
      </c>
      <c r="D38" s="46">
        <v>0.0</v>
      </c>
      <c r="E38" s="33"/>
      <c r="F38" s="33"/>
      <c r="G38" s="33"/>
      <c r="H38" s="33"/>
      <c r="I38" s="33"/>
      <c r="J38" s="33"/>
      <c r="K38" s="33"/>
      <c r="L38" s="33"/>
      <c r="M38" s="33"/>
      <c r="N38" s="33"/>
      <c r="O38" s="33"/>
      <c r="P38" s="33"/>
      <c r="Q38" s="33"/>
      <c r="R38" s="33"/>
      <c r="S38" s="33"/>
      <c r="T38" s="33"/>
      <c r="U38" s="33"/>
      <c r="V38" s="33"/>
      <c r="W38" s="33"/>
      <c r="X38" s="33"/>
      <c r="Y38" s="33"/>
      <c r="Z38" s="33"/>
    </row>
    <row r="39" ht="14.25" customHeight="1">
      <c r="A39" s="38" t="s">
        <v>82</v>
      </c>
      <c r="B39" s="39" t="s">
        <v>97</v>
      </c>
      <c r="C39" s="39" t="s">
        <v>99</v>
      </c>
      <c r="D39" s="46">
        <v>927.0</v>
      </c>
      <c r="E39" s="33"/>
      <c r="F39" s="33"/>
      <c r="G39" s="33"/>
      <c r="H39" s="33"/>
      <c r="I39" s="33"/>
      <c r="J39" s="33"/>
      <c r="K39" s="33"/>
      <c r="L39" s="33"/>
      <c r="M39" s="33"/>
      <c r="N39" s="33"/>
      <c r="O39" s="33"/>
      <c r="P39" s="33"/>
      <c r="Q39" s="33"/>
      <c r="R39" s="33"/>
      <c r="S39" s="33"/>
      <c r="T39" s="33"/>
      <c r="U39" s="33"/>
      <c r="V39" s="33"/>
      <c r="W39" s="33"/>
      <c r="X39" s="33"/>
      <c r="Y39" s="33"/>
      <c r="Z39" s="33"/>
    </row>
    <row r="40" ht="14.25" customHeight="1">
      <c r="A40" s="38" t="s">
        <v>82</v>
      </c>
      <c r="B40" s="39" t="s">
        <v>97</v>
      </c>
      <c r="C40" s="39" t="s">
        <v>85</v>
      </c>
      <c r="D40" s="46">
        <v>0.0</v>
      </c>
      <c r="E40" s="33"/>
      <c r="F40" s="33"/>
      <c r="G40" s="33"/>
      <c r="H40" s="33"/>
      <c r="I40" s="33"/>
      <c r="J40" s="33"/>
      <c r="K40" s="33"/>
      <c r="L40" s="33"/>
      <c r="M40" s="33"/>
      <c r="N40" s="33"/>
      <c r="O40" s="33"/>
      <c r="P40" s="33"/>
      <c r="Q40" s="33"/>
      <c r="R40" s="33"/>
      <c r="S40" s="33"/>
      <c r="T40" s="33"/>
      <c r="U40" s="33"/>
      <c r="V40" s="33"/>
      <c r="W40" s="33"/>
      <c r="X40" s="33"/>
      <c r="Y40" s="33"/>
      <c r="Z40" s="33"/>
    </row>
    <row r="41" ht="14.25" customHeight="1">
      <c r="A41" s="38" t="s">
        <v>82</v>
      </c>
      <c r="B41" s="39" t="s">
        <v>97</v>
      </c>
      <c r="C41" s="39" t="s">
        <v>100</v>
      </c>
      <c r="D41" s="46">
        <v>463.0</v>
      </c>
      <c r="E41" s="33"/>
      <c r="F41" s="33"/>
      <c r="G41" s="33"/>
      <c r="H41" s="33"/>
      <c r="I41" s="33"/>
      <c r="J41" s="33"/>
      <c r="K41" s="33"/>
      <c r="L41" s="33"/>
      <c r="M41" s="33"/>
      <c r="N41" s="33"/>
      <c r="O41" s="33"/>
      <c r="P41" s="33"/>
      <c r="Q41" s="33"/>
      <c r="R41" s="33"/>
      <c r="S41" s="33"/>
      <c r="T41" s="33"/>
      <c r="U41" s="33"/>
      <c r="V41" s="33"/>
      <c r="W41" s="33"/>
      <c r="X41" s="33"/>
      <c r="Y41" s="33"/>
      <c r="Z41" s="33"/>
    </row>
    <row r="42" ht="14.25" customHeight="1">
      <c r="A42" s="38" t="s">
        <v>82</v>
      </c>
      <c r="B42" s="39" t="s">
        <v>97</v>
      </c>
      <c r="C42" s="39" t="s">
        <v>91</v>
      </c>
      <c r="D42" s="40">
        <v>2317.0</v>
      </c>
      <c r="E42" s="33"/>
      <c r="F42" s="33"/>
      <c r="G42" s="33"/>
      <c r="H42" s="33"/>
      <c r="I42" s="33"/>
      <c r="J42" s="33"/>
      <c r="K42" s="33"/>
      <c r="L42" s="33"/>
      <c r="M42" s="33"/>
      <c r="N42" s="33"/>
      <c r="O42" s="33"/>
      <c r="P42" s="33"/>
      <c r="Q42" s="33"/>
      <c r="R42" s="33"/>
      <c r="S42" s="33"/>
      <c r="T42" s="33"/>
      <c r="U42" s="33"/>
      <c r="V42" s="33"/>
      <c r="W42" s="33"/>
      <c r="X42" s="33"/>
      <c r="Y42" s="33"/>
      <c r="Z42" s="33"/>
    </row>
    <row r="43" ht="14.25" customHeight="1">
      <c r="A43" s="38" t="s">
        <v>82</v>
      </c>
      <c r="B43" s="39" t="s">
        <v>101</v>
      </c>
      <c r="C43" s="39" t="s">
        <v>84</v>
      </c>
      <c r="D43" s="40">
        <v>5361.0</v>
      </c>
      <c r="E43" s="33"/>
      <c r="F43" s="33"/>
      <c r="G43" s="33"/>
      <c r="H43" s="33"/>
      <c r="I43" s="33"/>
      <c r="J43" s="33"/>
      <c r="K43" s="33"/>
      <c r="L43" s="33"/>
      <c r="M43" s="33"/>
      <c r="N43" s="33"/>
      <c r="O43" s="33"/>
      <c r="P43" s="33"/>
      <c r="Q43" s="33"/>
      <c r="R43" s="33"/>
      <c r="S43" s="33"/>
      <c r="T43" s="33"/>
      <c r="U43" s="33"/>
      <c r="V43" s="33"/>
      <c r="W43" s="33"/>
      <c r="X43" s="33"/>
      <c r="Y43" s="33"/>
      <c r="Z43" s="33"/>
    </row>
    <row r="44" ht="14.25" customHeight="1">
      <c r="A44" s="38" t="s">
        <v>82</v>
      </c>
      <c r="B44" s="39" t="s">
        <v>101</v>
      </c>
      <c r="C44" s="39" t="s">
        <v>86</v>
      </c>
      <c r="D44" s="40">
        <v>5808.0</v>
      </c>
      <c r="E44" s="33"/>
      <c r="F44" s="33"/>
      <c r="G44" s="33"/>
      <c r="H44" s="33"/>
      <c r="I44" s="33"/>
      <c r="J44" s="33"/>
      <c r="K44" s="33"/>
      <c r="L44" s="33"/>
      <c r="M44" s="33"/>
      <c r="N44" s="33"/>
      <c r="O44" s="33"/>
      <c r="P44" s="33"/>
      <c r="Q44" s="33"/>
      <c r="R44" s="33"/>
      <c r="S44" s="33"/>
      <c r="T44" s="33"/>
      <c r="U44" s="33"/>
      <c r="V44" s="33"/>
      <c r="W44" s="33"/>
      <c r="X44" s="33"/>
      <c r="Y44" s="33"/>
      <c r="Z44" s="33"/>
    </row>
    <row r="45" ht="14.25" customHeight="1">
      <c r="A45" s="38" t="s">
        <v>82</v>
      </c>
      <c r="B45" s="39" t="s">
        <v>101</v>
      </c>
      <c r="C45" s="39" t="s">
        <v>87</v>
      </c>
      <c r="D45" s="40">
        <v>6701.0</v>
      </c>
      <c r="E45" s="33"/>
      <c r="F45" s="33"/>
      <c r="G45" s="33"/>
      <c r="H45" s="33"/>
      <c r="I45" s="33"/>
      <c r="J45" s="33"/>
      <c r="K45" s="33"/>
      <c r="L45" s="33"/>
      <c r="M45" s="33"/>
      <c r="N45" s="33"/>
      <c r="O45" s="33"/>
      <c r="P45" s="33"/>
      <c r="Q45" s="33"/>
      <c r="R45" s="33"/>
      <c r="S45" s="33"/>
      <c r="T45" s="33"/>
      <c r="U45" s="33"/>
      <c r="V45" s="33"/>
      <c r="W45" s="33"/>
      <c r="X45" s="33"/>
      <c r="Y45" s="33"/>
      <c r="Z45" s="33"/>
    </row>
    <row r="46" ht="14.25" customHeight="1">
      <c r="A46" s="38" t="s">
        <v>82</v>
      </c>
      <c r="B46" s="38" t="s">
        <v>101</v>
      </c>
      <c r="C46" s="38" t="s">
        <v>88</v>
      </c>
      <c r="D46" s="48">
        <v>7148.0</v>
      </c>
      <c r="E46" s="33"/>
      <c r="F46" s="33"/>
      <c r="G46" s="33"/>
      <c r="H46" s="33"/>
      <c r="I46" s="33"/>
      <c r="J46" s="33"/>
      <c r="K46" s="33"/>
      <c r="L46" s="33"/>
      <c r="M46" s="33"/>
      <c r="N46" s="33"/>
      <c r="O46" s="33"/>
      <c r="P46" s="33"/>
      <c r="Q46" s="33"/>
      <c r="R46" s="33"/>
      <c r="S46" s="33"/>
      <c r="T46" s="33"/>
      <c r="U46" s="33"/>
      <c r="V46" s="33"/>
      <c r="W46" s="33"/>
      <c r="X46" s="33"/>
      <c r="Y46" s="33"/>
      <c r="Z46" s="33"/>
    </row>
    <row r="47" ht="14.25" customHeight="1">
      <c r="A47" s="38" t="s">
        <v>82</v>
      </c>
      <c r="B47" s="38" t="s">
        <v>101</v>
      </c>
      <c r="C47" s="38" t="s">
        <v>89</v>
      </c>
      <c r="D47" s="48">
        <v>8042.0</v>
      </c>
      <c r="E47" s="33"/>
      <c r="F47" s="33"/>
      <c r="G47" s="33"/>
      <c r="H47" s="33"/>
      <c r="I47" s="33"/>
      <c r="J47" s="33"/>
      <c r="K47" s="33"/>
      <c r="L47" s="33"/>
      <c r="M47" s="33"/>
      <c r="N47" s="33"/>
      <c r="O47" s="33"/>
      <c r="P47" s="33"/>
      <c r="Q47" s="33"/>
      <c r="R47" s="33"/>
      <c r="S47" s="33"/>
      <c r="T47" s="33"/>
      <c r="U47" s="33"/>
      <c r="V47" s="33"/>
      <c r="W47" s="33"/>
      <c r="X47" s="33"/>
      <c r="Y47" s="33"/>
      <c r="Z47" s="33"/>
    </row>
    <row r="48" ht="14.25" customHeight="1">
      <c r="A48" s="38" t="s">
        <v>82</v>
      </c>
      <c r="B48" s="38" t="s">
        <v>101</v>
      </c>
      <c r="C48" s="38" t="s">
        <v>94</v>
      </c>
      <c r="D48" s="48">
        <v>447.0</v>
      </c>
      <c r="E48" s="33"/>
      <c r="F48" s="33"/>
      <c r="G48" s="33"/>
      <c r="H48" s="33"/>
      <c r="I48" s="33"/>
      <c r="J48" s="33"/>
      <c r="K48" s="33"/>
      <c r="L48" s="33"/>
      <c r="M48" s="33"/>
      <c r="N48" s="33"/>
      <c r="O48" s="33"/>
      <c r="P48" s="33"/>
      <c r="Q48" s="33"/>
      <c r="R48" s="33"/>
      <c r="S48" s="33"/>
      <c r="T48" s="33"/>
      <c r="U48" s="33"/>
      <c r="V48" s="33"/>
      <c r="W48" s="33"/>
      <c r="X48" s="33"/>
      <c r="Y48" s="33"/>
      <c r="Z48" s="33"/>
    </row>
    <row r="49" ht="14.25" customHeight="1">
      <c r="A49" s="38" t="s">
        <v>82</v>
      </c>
      <c r="B49" s="38" t="s">
        <v>101</v>
      </c>
      <c r="C49" s="38" t="s">
        <v>96</v>
      </c>
      <c r="D49" s="48">
        <v>894.0</v>
      </c>
      <c r="E49" s="33"/>
      <c r="F49" s="33"/>
      <c r="G49" s="33"/>
      <c r="H49" s="33"/>
      <c r="I49" s="33"/>
      <c r="J49" s="33"/>
      <c r="K49" s="33"/>
      <c r="L49" s="33"/>
      <c r="M49" s="33"/>
      <c r="N49" s="33"/>
      <c r="O49" s="33"/>
      <c r="P49" s="33"/>
      <c r="Q49" s="33"/>
      <c r="R49" s="33"/>
      <c r="S49" s="33"/>
      <c r="T49" s="33"/>
      <c r="U49" s="33"/>
      <c r="V49" s="33"/>
      <c r="W49" s="33"/>
      <c r="X49" s="33"/>
      <c r="Y49" s="33"/>
      <c r="Z49" s="33"/>
    </row>
    <row r="50" ht="14.25" customHeight="1">
      <c r="A50" s="38" t="s">
        <v>82</v>
      </c>
      <c r="B50" s="38" t="s">
        <v>101</v>
      </c>
      <c r="C50" s="38" t="s">
        <v>98</v>
      </c>
      <c r="D50" s="48">
        <v>1340.0</v>
      </c>
      <c r="E50" s="33"/>
      <c r="F50" s="33"/>
      <c r="G50" s="33"/>
      <c r="H50" s="33"/>
      <c r="I50" s="33"/>
      <c r="J50" s="33"/>
      <c r="K50" s="33"/>
      <c r="L50" s="33"/>
      <c r="M50" s="33"/>
      <c r="N50" s="33"/>
      <c r="O50" s="33"/>
      <c r="P50" s="33"/>
      <c r="Q50" s="33"/>
      <c r="R50" s="33"/>
      <c r="S50" s="33"/>
      <c r="T50" s="33"/>
      <c r="U50" s="33"/>
      <c r="V50" s="33"/>
      <c r="W50" s="33"/>
      <c r="X50" s="33"/>
      <c r="Y50" s="33"/>
      <c r="Z50" s="33"/>
    </row>
    <row r="51" ht="14.25" customHeight="1">
      <c r="A51" s="38" t="s">
        <v>82</v>
      </c>
      <c r="B51" s="38" t="s">
        <v>101</v>
      </c>
      <c r="C51" s="38" t="s">
        <v>99</v>
      </c>
      <c r="D51" s="48">
        <v>1787.0</v>
      </c>
      <c r="E51" s="33"/>
      <c r="F51" s="33"/>
      <c r="G51" s="33"/>
      <c r="H51" s="33"/>
      <c r="I51" s="33"/>
      <c r="J51" s="33"/>
      <c r="K51" s="33"/>
      <c r="L51" s="33"/>
      <c r="M51" s="33"/>
      <c r="N51" s="33"/>
      <c r="O51" s="33"/>
      <c r="P51" s="33"/>
      <c r="Q51" s="33"/>
      <c r="R51" s="33"/>
      <c r="S51" s="33"/>
      <c r="T51" s="33"/>
      <c r="U51" s="33"/>
      <c r="V51" s="33"/>
      <c r="W51" s="33"/>
      <c r="X51" s="33"/>
      <c r="Y51" s="33"/>
      <c r="Z51" s="33"/>
    </row>
    <row r="52" ht="14.25" customHeight="1">
      <c r="A52" s="38" t="s">
        <v>82</v>
      </c>
      <c r="B52" s="38" t="s">
        <v>101</v>
      </c>
      <c r="C52" s="38" t="s">
        <v>85</v>
      </c>
      <c r="D52" s="48">
        <v>1340.0</v>
      </c>
      <c r="E52" s="33"/>
      <c r="F52" s="33"/>
      <c r="G52" s="33"/>
      <c r="H52" s="33"/>
      <c r="I52" s="33"/>
      <c r="J52" s="33"/>
      <c r="K52" s="33"/>
      <c r="L52" s="33"/>
      <c r="M52" s="33"/>
      <c r="N52" s="33"/>
      <c r="O52" s="33"/>
      <c r="P52" s="33"/>
      <c r="Q52" s="33"/>
      <c r="R52" s="33"/>
      <c r="S52" s="33"/>
      <c r="T52" s="33"/>
      <c r="U52" s="33"/>
      <c r="V52" s="33"/>
      <c r="W52" s="33"/>
      <c r="X52" s="33"/>
      <c r="Y52" s="33"/>
      <c r="Z52" s="33"/>
    </row>
    <row r="53" ht="14.25" customHeight="1">
      <c r="A53" s="38" t="s">
        <v>82</v>
      </c>
      <c r="B53" s="38" t="s">
        <v>101</v>
      </c>
      <c r="C53" s="38" t="s">
        <v>100</v>
      </c>
      <c r="D53" s="48">
        <v>4468.0</v>
      </c>
      <c r="E53" s="33"/>
      <c r="F53" s="33"/>
      <c r="G53" s="33"/>
      <c r="H53" s="33"/>
      <c r="I53" s="33"/>
      <c r="J53" s="33"/>
      <c r="K53" s="33"/>
      <c r="L53" s="33"/>
      <c r="M53" s="33"/>
      <c r="N53" s="33"/>
      <c r="O53" s="33"/>
      <c r="P53" s="33"/>
      <c r="Q53" s="33"/>
      <c r="R53" s="33"/>
      <c r="S53" s="33"/>
      <c r="T53" s="33"/>
      <c r="U53" s="33"/>
      <c r="V53" s="33"/>
      <c r="W53" s="33"/>
      <c r="X53" s="33"/>
      <c r="Y53" s="33"/>
      <c r="Z53" s="33"/>
    </row>
    <row r="54" ht="14.25" customHeight="1">
      <c r="A54" s="38" t="s">
        <v>82</v>
      </c>
      <c r="B54" s="38" t="s">
        <v>101</v>
      </c>
      <c r="C54" s="38" t="s">
        <v>91</v>
      </c>
      <c r="D54" s="48">
        <v>1340.0</v>
      </c>
      <c r="E54" s="33"/>
      <c r="F54" s="33"/>
      <c r="G54" s="33"/>
      <c r="H54" s="33"/>
      <c r="I54" s="33"/>
      <c r="J54" s="33"/>
      <c r="K54" s="33"/>
      <c r="L54" s="33"/>
      <c r="M54" s="33"/>
      <c r="N54" s="33"/>
      <c r="O54" s="33"/>
      <c r="P54" s="33"/>
      <c r="Q54" s="33"/>
      <c r="R54" s="33"/>
      <c r="S54" s="33"/>
      <c r="T54" s="33"/>
      <c r="U54" s="33"/>
      <c r="V54" s="33"/>
      <c r="W54" s="33"/>
      <c r="X54" s="33"/>
      <c r="Y54" s="33"/>
      <c r="Z54" s="33"/>
    </row>
    <row r="55" ht="14.25" customHeight="1">
      <c r="A55" s="38" t="s">
        <v>82</v>
      </c>
      <c r="B55" s="38" t="s">
        <v>102</v>
      </c>
      <c r="C55" s="38" t="s">
        <v>84</v>
      </c>
      <c r="D55" s="48">
        <v>5108.0</v>
      </c>
      <c r="E55" s="33"/>
      <c r="F55" s="33"/>
      <c r="G55" s="33"/>
      <c r="H55" s="33"/>
      <c r="I55" s="33"/>
      <c r="J55" s="33"/>
      <c r="K55" s="33"/>
      <c r="L55" s="33"/>
      <c r="M55" s="33"/>
      <c r="N55" s="33"/>
      <c r="O55" s="33"/>
      <c r="P55" s="33"/>
      <c r="Q55" s="33"/>
      <c r="R55" s="33"/>
      <c r="S55" s="33"/>
      <c r="T55" s="33"/>
      <c r="U55" s="33"/>
      <c r="V55" s="33"/>
      <c r="W55" s="33"/>
      <c r="X55" s="33"/>
      <c r="Y55" s="33"/>
      <c r="Z55" s="33"/>
    </row>
    <row r="56" ht="14.25" customHeight="1">
      <c r="A56" s="38" t="s">
        <v>82</v>
      </c>
      <c r="B56" s="38" t="s">
        <v>102</v>
      </c>
      <c r="C56" s="38" t="s">
        <v>86</v>
      </c>
      <c r="D56" s="48">
        <v>0.0</v>
      </c>
      <c r="E56" s="33"/>
      <c r="F56" s="33"/>
      <c r="G56" s="33"/>
      <c r="H56" s="33"/>
      <c r="I56" s="33"/>
      <c r="J56" s="33"/>
      <c r="K56" s="33"/>
      <c r="L56" s="33"/>
      <c r="M56" s="33"/>
      <c r="N56" s="33"/>
      <c r="O56" s="33"/>
      <c r="P56" s="33"/>
      <c r="Q56" s="33"/>
      <c r="R56" s="33"/>
      <c r="S56" s="33"/>
      <c r="T56" s="33"/>
      <c r="U56" s="33"/>
      <c r="V56" s="33"/>
      <c r="W56" s="33"/>
      <c r="X56" s="33"/>
      <c r="Y56" s="33"/>
      <c r="Z56" s="33"/>
    </row>
    <row r="57" ht="14.25" customHeight="1">
      <c r="A57" s="38" t="s">
        <v>82</v>
      </c>
      <c r="B57" s="38" t="s">
        <v>102</v>
      </c>
      <c r="C57" s="38" t="s">
        <v>87</v>
      </c>
      <c r="D57" s="48">
        <v>0.0</v>
      </c>
      <c r="E57" s="33"/>
      <c r="F57" s="33"/>
      <c r="G57" s="33"/>
      <c r="H57" s="33"/>
      <c r="I57" s="33"/>
      <c r="J57" s="33"/>
      <c r="K57" s="33"/>
      <c r="L57" s="33"/>
      <c r="M57" s="33"/>
      <c r="N57" s="33"/>
      <c r="O57" s="33"/>
      <c r="P57" s="33"/>
      <c r="Q57" s="33"/>
      <c r="R57" s="33"/>
      <c r="S57" s="33"/>
      <c r="T57" s="33"/>
      <c r="U57" s="33"/>
      <c r="V57" s="33"/>
      <c r="W57" s="33"/>
      <c r="X57" s="33"/>
      <c r="Y57" s="33"/>
      <c r="Z57" s="33"/>
    </row>
    <row r="58" ht="14.25" customHeight="1">
      <c r="A58" s="38" t="s">
        <v>82</v>
      </c>
      <c r="B58" s="38" t="s">
        <v>102</v>
      </c>
      <c r="C58" s="38" t="s">
        <v>88</v>
      </c>
      <c r="D58" s="48">
        <v>0.0</v>
      </c>
      <c r="E58" s="33"/>
      <c r="F58" s="33"/>
      <c r="G58" s="33"/>
      <c r="H58" s="33"/>
      <c r="I58" s="33"/>
      <c r="J58" s="33"/>
      <c r="K58" s="33"/>
      <c r="L58" s="33"/>
      <c r="M58" s="33"/>
      <c r="N58" s="33"/>
      <c r="O58" s="33"/>
      <c r="P58" s="33"/>
      <c r="Q58" s="33"/>
      <c r="R58" s="33"/>
      <c r="S58" s="33"/>
      <c r="T58" s="33"/>
      <c r="U58" s="33"/>
      <c r="V58" s="33"/>
      <c r="W58" s="33"/>
      <c r="X58" s="33"/>
      <c r="Y58" s="33"/>
      <c r="Z58" s="33"/>
    </row>
    <row r="59" ht="14.25" customHeight="1">
      <c r="A59" s="38" t="s">
        <v>82</v>
      </c>
      <c r="B59" s="38" t="s">
        <v>102</v>
      </c>
      <c r="C59" s="38" t="s">
        <v>89</v>
      </c>
      <c r="D59" s="48">
        <v>851.0</v>
      </c>
      <c r="E59" s="33"/>
      <c r="F59" s="33"/>
      <c r="G59" s="33"/>
      <c r="H59" s="33"/>
      <c r="I59" s="33"/>
      <c r="J59" s="33"/>
      <c r="K59" s="33"/>
      <c r="L59" s="33"/>
      <c r="M59" s="33"/>
      <c r="N59" s="33"/>
      <c r="O59" s="33"/>
      <c r="P59" s="33"/>
      <c r="Q59" s="33"/>
      <c r="R59" s="33"/>
      <c r="S59" s="33"/>
      <c r="T59" s="33"/>
      <c r="U59" s="33"/>
      <c r="V59" s="33"/>
      <c r="W59" s="33"/>
      <c r="X59" s="33"/>
      <c r="Y59" s="33"/>
      <c r="Z59" s="33"/>
    </row>
    <row r="60" ht="14.25" customHeight="1">
      <c r="A60" s="38" t="s">
        <v>82</v>
      </c>
      <c r="B60" s="38" t="s">
        <v>102</v>
      </c>
      <c r="C60" s="38" t="s">
        <v>94</v>
      </c>
      <c r="D60" s="48">
        <v>2554.0</v>
      </c>
      <c r="E60" s="33"/>
      <c r="F60" s="33"/>
      <c r="G60" s="33"/>
      <c r="H60" s="33"/>
      <c r="I60" s="33"/>
      <c r="J60" s="33"/>
      <c r="K60" s="33"/>
      <c r="L60" s="33"/>
      <c r="M60" s="33"/>
      <c r="N60" s="33"/>
      <c r="O60" s="33"/>
      <c r="P60" s="33"/>
      <c r="Q60" s="33"/>
      <c r="R60" s="33"/>
      <c r="S60" s="33"/>
      <c r="T60" s="33"/>
      <c r="U60" s="33"/>
      <c r="V60" s="33"/>
      <c r="W60" s="33"/>
      <c r="X60" s="33"/>
      <c r="Y60" s="33"/>
      <c r="Z60" s="33"/>
    </row>
    <row r="61" ht="14.25" customHeight="1">
      <c r="A61" s="38" t="s">
        <v>82</v>
      </c>
      <c r="B61" s="38" t="s">
        <v>102</v>
      </c>
      <c r="C61" s="38" t="s">
        <v>96</v>
      </c>
      <c r="D61" s="48">
        <v>8514.0</v>
      </c>
      <c r="E61" s="33"/>
      <c r="F61" s="33"/>
      <c r="G61" s="33"/>
      <c r="H61" s="33"/>
      <c r="I61" s="33"/>
      <c r="J61" s="33"/>
      <c r="K61" s="33"/>
      <c r="L61" s="33"/>
      <c r="M61" s="33"/>
      <c r="N61" s="33"/>
      <c r="O61" s="33"/>
      <c r="P61" s="33"/>
      <c r="Q61" s="33"/>
      <c r="R61" s="33"/>
      <c r="S61" s="33"/>
      <c r="T61" s="33"/>
      <c r="U61" s="33"/>
      <c r="V61" s="33"/>
      <c r="W61" s="33"/>
      <c r="X61" s="33"/>
      <c r="Y61" s="33"/>
      <c r="Z61" s="33"/>
    </row>
    <row r="62" ht="14.25" customHeight="1">
      <c r="A62" s="38" t="s">
        <v>82</v>
      </c>
      <c r="B62" s="38" t="s">
        <v>102</v>
      </c>
      <c r="C62" s="38" t="s">
        <v>98</v>
      </c>
      <c r="D62" s="48">
        <v>0.0</v>
      </c>
      <c r="E62" s="33"/>
      <c r="F62" s="33"/>
      <c r="G62" s="33"/>
      <c r="H62" s="33"/>
      <c r="I62" s="33"/>
      <c r="J62" s="33"/>
      <c r="K62" s="33"/>
      <c r="L62" s="33"/>
      <c r="M62" s="33"/>
      <c r="N62" s="33"/>
      <c r="O62" s="33"/>
      <c r="P62" s="33"/>
      <c r="Q62" s="33"/>
      <c r="R62" s="33"/>
      <c r="S62" s="33"/>
      <c r="T62" s="33"/>
      <c r="U62" s="33"/>
      <c r="V62" s="33"/>
      <c r="W62" s="33"/>
      <c r="X62" s="33"/>
      <c r="Y62" s="33"/>
      <c r="Z62" s="33"/>
    </row>
    <row r="63" ht="14.25" customHeight="1">
      <c r="A63" s="38" t="s">
        <v>82</v>
      </c>
      <c r="B63" s="38" t="s">
        <v>102</v>
      </c>
      <c r="C63" s="38" t="s">
        <v>99</v>
      </c>
      <c r="D63" s="48">
        <v>0.0</v>
      </c>
      <c r="E63" s="33"/>
      <c r="F63" s="33"/>
      <c r="G63" s="33"/>
      <c r="H63" s="33"/>
      <c r="I63" s="33"/>
      <c r="J63" s="33"/>
      <c r="K63" s="33"/>
      <c r="L63" s="33"/>
      <c r="M63" s="33"/>
      <c r="N63" s="33"/>
      <c r="O63" s="33"/>
      <c r="P63" s="33"/>
      <c r="Q63" s="33"/>
      <c r="R63" s="33"/>
      <c r="S63" s="33"/>
      <c r="T63" s="33"/>
      <c r="U63" s="33"/>
      <c r="V63" s="33"/>
      <c r="W63" s="33"/>
      <c r="X63" s="33"/>
      <c r="Y63" s="33"/>
      <c r="Z63" s="33"/>
    </row>
    <row r="64" ht="14.25" customHeight="1">
      <c r="A64" s="38" t="s">
        <v>82</v>
      </c>
      <c r="B64" s="38" t="s">
        <v>102</v>
      </c>
      <c r="C64" s="38" t="s">
        <v>85</v>
      </c>
      <c r="D64" s="48">
        <v>0.0</v>
      </c>
      <c r="E64" s="33"/>
      <c r="F64" s="33"/>
      <c r="G64" s="33"/>
      <c r="H64" s="33"/>
      <c r="I64" s="33"/>
      <c r="J64" s="33"/>
      <c r="K64" s="33"/>
      <c r="L64" s="33"/>
      <c r="M64" s="33"/>
      <c r="N64" s="33"/>
      <c r="O64" s="33"/>
      <c r="P64" s="33"/>
      <c r="Q64" s="33"/>
      <c r="R64" s="33"/>
      <c r="S64" s="33"/>
      <c r="T64" s="33"/>
      <c r="U64" s="33"/>
      <c r="V64" s="33"/>
      <c r="W64" s="33"/>
      <c r="X64" s="33"/>
      <c r="Y64" s="33"/>
      <c r="Z64" s="33"/>
    </row>
    <row r="65" ht="14.25" customHeight="1">
      <c r="A65" s="38" t="s">
        <v>82</v>
      </c>
      <c r="B65" s="38" t="s">
        <v>102</v>
      </c>
      <c r="C65" s="38" t="s">
        <v>100</v>
      </c>
      <c r="D65" s="48">
        <v>12771.0</v>
      </c>
      <c r="E65" s="33"/>
      <c r="F65" s="33"/>
      <c r="G65" s="33"/>
      <c r="H65" s="33"/>
      <c r="I65" s="33"/>
      <c r="J65" s="33"/>
      <c r="K65" s="33"/>
      <c r="L65" s="33"/>
      <c r="M65" s="33"/>
      <c r="N65" s="33"/>
      <c r="O65" s="33"/>
      <c r="P65" s="33"/>
      <c r="Q65" s="33"/>
      <c r="R65" s="33"/>
      <c r="S65" s="33"/>
      <c r="T65" s="33"/>
      <c r="U65" s="33"/>
      <c r="V65" s="33"/>
      <c r="W65" s="33"/>
      <c r="X65" s="33"/>
      <c r="Y65" s="33"/>
      <c r="Z65" s="33"/>
    </row>
    <row r="66" ht="14.25" customHeight="1">
      <c r="A66" s="38" t="s">
        <v>82</v>
      </c>
      <c r="B66" s="38" t="s">
        <v>102</v>
      </c>
      <c r="C66" s="38" t="s">
        <v>91</v>
      </c>
      <c r="D66" s="48">
        <v>12771.0</v>
      </c>
      <c r="E66" s="33"/>
      <c r="F66" s="33"/>
      <c r="G66" s="33"/>
      <c r="H66" s="33"/>
      <c r="I66" s="33"/>
      <c r="J66" s="33"/>
      <c r="K66" s="33"/>
      <c r="L66" s="33"/>
      <c r="M66" s="33"/>
      <c r="N66" s="33"/>
      <c r="O66" s="33"/>
      <c r="P66" s="33"/>
      <c r="Q66" s="33"/>
      <c r="R66" s="33"/>
      <c r="S66" s="33"/>
      <c r="T66" s="33"/>
      <c r="U66" s="33"/>
      <c r="V66" s="33"/>
      <c r="W66" s="33"/>
      <c r="X66" s="33"/>
      <c r="Y66" s="33"/>
      <c r="Z66" s="33"/>
    </row>
    <row r="67" ht="14.25" customHeight="1">
      <c r="A67" s="38" t="s">
        <v>95</v>
      </c>
      <c r="B67" s="38" t="s">
        <v>83</v>
      </c>
      <c r="C67" s="38" t="s">
        <v>103</v>
      </c>
      <c r="D67" s="48">
        <v>0.0</v>
      </c>
      <c r="E67" s="33"/>
      <c r="F67" s="33"/>
      <c r="G67" s="33"/>
      <c r="H67" s="33"/>
      <c r="I67" s="33"/>
      <c r="J67" s="33"/>
      <c r="K67" s="33"/>
      <c r="L67" s="33"/>
      <c r="M67" s="33"/>
      <c r="N67" s="33"/>
      <c r="O67" s="33"/>
      <c r="P67" s="33"/>
      <c r="Q67" s="33"/>
      <c r="R67" s="33"/>
      <c r="S67" s="33"/>
      <c r="T67" s="33"/>
      <c r="U67" s="33"/>
      <c r="V67" s="33"/>
      <c r="W67" s="33"/>
      <c r="X67" s="33"/>
      <c r="Y67" s="33"/>
      <c r="Z67" s="33"/>
    </row>
    <row r="68" ht="14.25" customHeight="1">
      <c r="A68" s="38" t="s">
        <v>95</v>
      </c>
      <c r="B68" s="38" t="s">
        <v>83</v>
      </c>
      <c r="C68" s="38" t="s">
        <v>104</v>
      </c>
      <c r="D68" s="48">
        <v>0.0</v>
      </c>
      <c r="E68" s="33"/>
      <c r="F68" s="33"/>
      <c r="G68" s="33"/>
      <c r="H68" s="33"/>
      <c r="I68" s="33"/>
      <c r="J68" s="33"/>
      <c r="K68" s="33"/>
      <c r="L68" s="33"/>
      <c r="M68" s="33"/>
      <c r="N68" s="33"/>
      <c r="O68" s="33"/>
      <c r="P68" s="33"/>
      <c r="Q68" s="33"/>
      <c r="R68" s="33"/>
      <c r="S68" s="33"/>
      <c r="T68" s="33"/>
      <c r="U68" s="33"/>
      <c r="V68" s="33"/>
      <c r="W68" s="33"/>
      <c r="X68" s="33"/>
      <c r="Y68" s="33"/>
      <c r="Z68" s="33"/>
    </row>
    <row r="69" ht="14.25" customHeight="1">
      <c r="A69" s="38" t="s">
        <v>95</v>
      </c>
      <c r="B69" s="38" t="s">
        <v>83</v>
      </c>
      <c r="C69" s="38" t="s">
        <v>105</v>
      </c>
      <c r="D69" s="48">
        <v>0.0</v>
      </c>
      <c r="E69" s="33"/>
      <c r="F69" s="33"/>
      <c r="G69" s="33"/>
      <c r="H69" s="33"/>
      <c r="I69" s="33"/>
      <c r="J69" s="33"/>
      <c r="K69" s="33"/>
      <c r="L69" s="33"/>
      <c r="M69" s="33"/>
      <c r="N69" s="33"/>
      <c r="O69" s="33"/>
      <c r="P69" s="33"/>
      <c r="Q69" s="33"/>
      <c r="R69" s="33"/>
      <c r="S69" s="33"/>
      <c r="T69" s="33"/>
      <c r="U69" s="33"/>
      <c r="V69" s="33"/>
      <c r="W69" s="33"/>
      <c r="X69" s="33"/>
      <c r="Y69" s="33"/>
      <c r="Z69" s="33"/>
    </row>
    <row r="70" ht="14.25" customHeight="1">
      <c r="A70" s="38" t="s">
        <v>95</v>
      </c>
      <c r="B70" s="38" t="s">
        <v>83</v>
      </c>
      <c r="C70" s="38" t="s">
        <v>106</v>
      </c>
      <c r="D70" s="48">
        <v>0.0</v>
      </c>
      <c r="E70" s="33"/>
      <c r="F70" s="33"/>
      <c r="G70" s="33"/>
      <c r="H70" s="33"/>
      <c r="I70" s="33"/>
      <c r="J70" s="33"/>
      <c r="K70" s="33"/>
      <c r="L70" s="33"/>
      <c r="M70" s="33"/>
      <c r="N70" s="33"/>
      <c r="O70" s="33"/>
      <c r="P70" s="33"/>
      <c r="Q70" s="33"/>
      <c r="R70" s="33"/>
      <c r="S70" s="33"/>
      <c r="T70" s="33"/>
      <c r="U70" s="33"/>
      <c r="V70" s="33"/>
      <c r="W70" s="33"/>
      <c r="X70" s="33"/>
      <c r="Y70" s="33"/>
      <c r="Z70" s="33"/>
    </row>
    <row r="71" ht="14.25" customHeight="1">
      <c r="A71" s="38" t="s">
        <v>95</v>
      </c>
      <c r="B71" s="38" t="s">
        <v>83</v>
      </c>
      <c r="C71" s="38" t="s">
        <v>107</v>
      </c>
      <c r="D71" s="48">
        <v>3513.0</v>
      </c>
      <c r="E71" s="33"/>
      <c r="F71" s="33"/>
      <c r="G71" s="33"/>
      <c r="H71" s="33"/>
      <c r="I71" s="33"/>
      <c r="J71" s="33"/>
      <c r="K71" s="33"/>
      <c r="L71" s="33"/>
      <c r="M71" s="33"/>
      <c r="N71" s="33"/>
      <c r="O71" s="33"/>
      <c r="P71" s="33"/>
      <c r="Q71" s="33"/>
      <c r="R71" s="33"/>
      <c r="S71" s="33"/>
      <c r="T71" s="33"/>
      <c r="U71" s="33"/>
      <c r="V71" s="33"/>
      <c r="W71" s="33"/>
      <c r="X71" s="33"/>
      <c r="Y71" s="33"/>
      <c r="Z71" s="33"/>
    </row>
    <row r="72" ht="14.25" customHeight="1">
      <c r="A72" s="38" t="s">
        <v>95</v>
      </c>
      <c r="B72" s="38" t="s">
        <v>83</v>
      </c>
      <c r="C72" s="38" t="s">
        <v>108</v>
      </c>
      <c r="D72" s="48">
        <v>2928.0</v>
      </c>
      <c r="E72" s="33"/>
      <c r="F72" s="33"/>
      <c r="G72" s="33"/>
      <c r="H72" s="33"/>
      <c r="I72" s="33"/>
      <c r="J72" s="33"/>
      <c r="K72" s="33"/>
      <c r="L72" s="33"/>
      <c r="M72" s="33"/>
      <c r="N72" s="33"/>
      <c r="O72" s="33"/>
      <c r="P72" s="33"/>
      <c r="Q72" s="33"/>
      <c r="R72" s="33"/>
      <c r="S72" s="33"/>
      <c r="T72" s="33"/>
      <c r="U72" s="33"/>
      <c r="V72" s="33"/>
      <c r="W72" s="33"/>
      <c r="X72" s="33"/>
      <c r="Y72" s="33"/>
      <c r="Z72" s="33"/>
    </row>
    <row r="73" ht="14.25" customHeight="1">
      <c r="A73" s="38" t="s">
        <v>95</v>
      </c>
      <c r="B73" s="38" t="s">
        <v>83</v>
      </c>
      <c r="C73" s="38" t="s">
        <v>109</v>
      </c>
      <c r="D73" s="48">
        <v>1757.0</v>
      </c>
      <c r="E73" s="33"/>
      <c r="F73" s="33"/>
      <c r="G73" s="33"/>
      <c r="H73" s="33"/>
      <c r="I73" s="33"/>
      <c r="J73" s="33"/>
      <c r="K73" s="33"/>
      <c r="L73" s="33"/>
      <c r="M73" s="33"/>
      <c r="N73" s="33"/>
      <c r="O73" s="33"/>
      <c r="P73" s="33"/>
      <c r="Q73" s="33"/>
      <c r="R73" s="33"/>
      <c r="S73" s="33"/>
      <c r="T73" s="33"/>
      <c r="U73" s="33"/>
      <c r="V73" s="33"/>
      <c r="W73" s="33"/>
      <c r="X73" s="33"/>
      <c r="Y73" s="33"/>
      <c r="Z73" s="33"/>
    </row>
    <row r="74" ht="14.25" customHeight="1">
      <c r="A74" s="38" t="s">
        <v>95</v>
      </c>
      <c r="B74" s="38" t="s">
        <v>83</v>
      </c>
      <c r="C74" s="38" t="s">
        <v>110</v>
      </c>
      <c r="D74" s="48">
        <v>3513.0</v>
      </c>
      <c r="E74" s="33"/>
      <c r="F74" s="33"/>
      <c r="G74" s="33"/>
      <c r="H74" s="33"/>
      <c r="I74" s="33"/>
      <c r="J74" s="33"/>
      <c r="K74" s="33"/>
      <c r="L74" s="33"/>
      <c r="M74" s="33"/>
      <c r="N74" s="33"/>
      <c r="O74" s="33"/>
      <c r="P74" s="33"/>
      <c r="Q74" s="33"/>
      <c r="R74" s="33"/>
      <c r="S74" s="33"/>
      <c r="T74" s="33"/>
      <c r="U74" s="33"/>
      <c r="V74" s="33"/>
      <c r="W74" s="33"/>
      <c r="X74" s="33"/>
      <c r="Y74" s="33"/>
      <c r="Z74" s="33"/>
    </row>
    <row r="75" ht="14.25" customHeight="1">
      <c r="A75" s="38" t="s">
        <v>95</v>
      </c>
      <c r="B75" s="38" t="s">
        <v>83</v>
      </c>
      <c r="C75" s="38" t="s">
        <v>111</v>
      </c>
      <c r="D75" s="48">
        <v>0.0</v>
      </c>
      <c r="E75" s="33"/>
      <c r="F75" s="33"/>
      <c r="G75" s="33"/>
      <c r="H75" s="33"/>
      <c r="I75" s="33"/>
      <c r="J75" s="33"/>
      <c r="K75" s="33"/>
      <c r="L75" s="33"/>
      <c r="M75" s="33"/>
      <c r="N75" s="33"/>
      <c r="O75" s="33"/>
      <c r="P75" s="33"/>
      <c r="Q75" s="33"/>
      <c r="R75" s="33"/>
      <c r="S75" s="33"/>
      <c r="T75" s="33"/>
      <c r="U75" s="33"/>
      <c r="V75" s="33"/>
      <c r="W75" s="33"/>
      <c r="X75" s="33"/>
      <c r="Y75" s="33"/>
      <c r="Z75" s="33"/>
    </row>
    <row r="76" ht="14.25" customHeight="1">
      <c r="A76" s="38" t="s">
        <v>95</v>
      </c>
      <c r="B76" s="38" t="s">
        <v>83</v>
      </c>
      <c r="C76" s="38" t="s">
        <v>112</v>
      </c>
      <c r="D76" s="48">
        <v>0.0</v>
      </c>
      <c r="E76" s="33"/>
      <c r="F76" s="33"/>
      <c r="G76" s="33"/>
      <c r="H76" s="33"/>
      <c r="I76" s="33"/>
      <c r="J76" s="33"/>
      <c r="K76" s="33"/>
      <c r="L76" s="33"/>
      <c r="M76" s="33"/>
      <c r="N76" s="33"/>
      <c r="O76" s="33"/>
      <c r="P76" s="33"/>
      <c r="Q76" s="33"/>
      <c r="R76" s="33"/>
      <c r="S76" s="33"/>
      <c r="T76" s="33"/>
      <c r="U76" s="33"/>
      <c r="V76" s="33"/>
      <c r="W76" s="33"/>
      <c r="X76" s="33"/>
      <c r="Y76" s="33"/>
      <c r="Z76" s="33"/>
    </row>
    <row r="77" ht="14.25" customHeight="1">
      <c r="A77" s="38" t="s">
        <v>95</v>
      </c>
      <c r="B77" s="38" t="s">
        <v>83</v>
      </c>
      <c r="C77" s="38" t="s">
        <v>113</v>
      </c>
      <c r="D77" s="48">
        <v>0.0</v>
      </c>
      <c r="E77" s="33"/>
      <c r="F77" s="33"/>
      <c r="G77" s="33"/>
      <c r="H77" s="33"/>
      <c r="I77" s="33"/>
      <c r="J77" s="33"/>
      <c r="K77" s="33"/>
      <c r="L77" s="33"/>
      <c r="M77" s="33"/>
      <c r="N77" s="33"/>
      <c r="O77" s="33"/>
      <c r="P77" s="33"/>
      <c r="Q77" s="33"/>
      <c r="R77" s="33"/>
      <c r="S77" s="33"/>
      <c r="T77" s="33"/>
      <c r="U77" s="33"/>
      <c r="V77" s="33"/>
      <c r="W77" s="33"/>
      <c r="X77" s="33"/>
      <c r="Y77" s="33"/>
      <c r="Z77" s="33"/>
    </row>
    <row r="78" ht="14.25" customHeight="1">
      <c r="A78" s="38" t="s">
        <v>95</v>
      </c>
      <c r="B78" s="38" t="s">
        <v>83</v>
      </c>
      <c r="C78" s="38" t="s">
        <v>114</v>
      </c>
      <c r="D78" s="48">
        <v>0.0</v>
      </c>
      <c r="E78" s="33"/>
      <c r="F78" s="33"/>
      <c r="G78" s="33"/>
      <c r="H78" s="33"/>
      <c r="I78" s="33"/>
      <c r="J78" s="33"/>
      <c r="K78" s="33"/>
      <c r="L78" s="33"/>
      <c r="M78" s="33"/>
      <c r="N78" s="33"/>
      <c r="O78" s="33"/>
      <c r="P78" s="33"/>
      <c r="Q78" s="33"/>
      <c r="R78" s="33"/>
      <c r="S78" s="33"/>
      <c r="T78" s="33"/>
      <c r="U78" s="33"/>
      <c r="V78" s="33"/>
      <c r="W78" s="33"/>
      <c r="X78" s="33"/>
      <c r="Y78" s="33"/>
      <c r="Z78" s="33"/>
    </row>
    <row r="79" ht="14.25" customHeight="1">
      <c r="A79" s="38" t="s">
        <v>95</v>
      </c>
      <c r="B79" s="38" t="s">
        <v>83</v>
      </c>
      <c r="C79" s="38" t="s">
        <v>115</v>
      </c>
      <c r="D79" s="48">
        <v>878.0</v>
      </c>
      <c r="E79" s="33"/>
      <c r="F79" s="33"/>
      <c r="G79" s="33"/>
      <c r="H79" s="33"/>
      <c r="I79" s="33"/>
      <c r="J79" s="33"/>
      <c r="K79" s="33"/>
      <c r="L79" s="33"/>
      <c r="M79" s="33"/>
      <c r="N79" s="33"/>
      <c r="O79" s="33"/>
      <c r="P79" s="33"/>
      <c r="Q79" s="33"/>
      <c r="R79" s="33"/>
      <c r="S79" s="33"/>
      <c r="T79" s="33"/>
      <c r="U79" s="33"/>
      <c r="V79" s="33"/>
      <c r="W79" s="33"/>
      <c r="X79" s="33"/>
      <c r="Y79" s="33"/>
      <c r="Z79" s="33"/>
    </row>
    <row r="80" ht="14.25" customHeight="1">
      <c r="A80" s="38" t="s">
        <v>95</v>
      </c>
      <c r="B80" s="38" t="s">
        <v>83</v>
      </c>
      <c r="C80" s="38" t="s">
        <v>116</v>
      </c>
      <c r="D80" s="48">
        <v>3513.0</v>
      </c>
      <c r="E80" s="33"/>
      <c r="F80" s="33"/>
      <c r="G80" s="33"/>
      <c r="H80" s="33"/>
      <c r="I80" s="33"/>
      <c r="J80" s="33"/>
      <c r="K80" s="33"/>
      <c r="L80" s="33"/>
      <c r="M80" s="33"/>
      <c r="N80" s="33"/>
      <c r="O80" s="33"/>
      <c r="P80" s="33"/>
      <c r="Q80" s="33"/>
      <c r="R80" s="33"/>
      <c r="S80" s="33"/>
      <c r="T80" s="33"/>
      <c r="U80" s="33"/>
      <c r="V80" s="33"/>
      <c r="W80" s="33"/>
      <c r="X80" s="33"/>
      <c r="Y80" s="33"/>
      <c r="Z80" s="33"/>
    </row>
    <row r="81" ht="14.25" customHeight="1">
      <c r="A81" s="38" t="s">
        <v>95</v>
      </c>
      <c r="B81" s="38" t="s">
        <v>83</v>
      </c>
      <c r="C81" s="38" t="s">
        <v>117</v>
      </c>
      <c r="D81" s="48">
        <v>13174.0</v>
      </c>
      <c r="E81" s="33"/>
      <c r="F81" s="33"/>
      <c r="G81" s="33"/>
      <c r="H81" s="33"/>
      <c r="I81" s="33"/>
      <c r="J81" s="33"/>
      <c r="K81" s="33"/>
      <c r="L81" s="33"/>
      <c r="M81" s="33"/>
      <c r="N81" s="33"/>
      <c r="O81" s="33"/>
      <c r="P81" s="33"/>
      <c r="Q81" s="33"/>
      <c r="R81" s="33"/>
      <c r="S81" s="33"/>
      <c r="T81" s="33"/>
      <c r="U81" s="33"/>
      <c r="V81" s="33"/>
      <c r="W81" s="33"/>
      <c r="X81" s="33"/>
      <c r="Y81" s="33"/>
      <c r="Z81" s="33"/>
    </row>
    <row r="82" ht="14.25" customHeight="1">
      <c r="A82" s="38" t="s">
        <v>95</v>
      </c>
      <c r="B82" s="38" t="s">
        <v>92</v>
      </c>
      <c r="C82" s="38" t="s">
        <v>109</v>
      </c>
      <c r="D82" s="48">
        <v>2342.0</v>
      </c>
      <c r="E82" s="33"/>
      <c r="F82" s="33"/>
      <c r="G82" s="33"/>
      <c r="H82" s="33"/>
      <c r="I82" s="33"/>
      <c r="J82" s="33"/>
      <c r="K82" s="33"/>
      <c r="L82" s="33"/>
      <c r="M82" s="33"/>
      <c r="N82" s="33"/>
      <c r="O82" s="33"/>
      <c r="P82" s="33"/>
      <c r="Q82" s="33"/>
      <c r="R82" s="33"/>
      <c r="S82" s="33"/>
      <c r="T82" s="33"/>
      <c r="U82" s="33"/>
      <c r="V82" s="33"/>
      <c r="W82" s="33"/>
      <c r="X82" s="33"/>
      <c r="Y82" s="33"/>
      <c r="Z82" s="33"/>
    </row>
    <row r="83" ht="14.25" customHeight="1">
      <c r="A83" s="38" t="s">
        <v>95</v>
      </c>
      <c r="B83" s="38" t="s">
        <v>92</v>
      </c>
      <c r="C83" s="38" t="s">
        <v>110</v>
      </c>
      <c r="D83" s="48">
        <v>4977.0</v>
      </c>
      <c r="E83" s="33"/>
      <c r="F83" s="33"/>
      <c r="G83" s="33"/>
      <c r="H83" s="33"/>
      <c r="I83" s="33"/>
      <c r="J83" s="33"/>
      <c r="K83" s="33"/>
      <c r="L83" s="33"/>
      <c r="M83" s="33"/>
      <c r="N83" s="33"/>
      <c r="O83" s="33"/>
      <c r="P83" s="33"/>
      <c r="Q83" s="33"/>
      <c r="R83" s="33"/>
      <c r="S83" s="33"/>
      <c r="T83" s="33"/>
      <c r="U83" s="33"/>
      <c r="V83" s="33"/>
      <c r="W83" s="33"/>
      <c r="X83" s="33"/>
      <c r="Y83" s="33"/>
      <c r="Z83" s="33"/>
    </row>
    <row r="84" ht="14.25" customHeight="1">
      <c r="A84" s="38" t="s">
        <v>95</v>
      </c>
      <c r="B84" s="38" t="s">
        <v>92</v>
      </c>
      <c r="C84" s="38" t="s">
        <v>111</v>
      </c>
      <c r="D84" s="48">
        <v>7612.0</v>
      </c>
      <c r="E84" s="33"/>
      <c r="F84" s="33"/>
      <c r="G84" s="33"/>
      <c r="H84" s="33"/>
      <c r="I84" s="33"/>
      <c r="J84" s="33"/>
      <c r="K84" s="33"/>
      <c r="L84" s="33"/>
      <c r="M84" s="33"/>
      <c r="N84" s="33"/>
      <c r="O84" s="33"/>
      <c r="P84" s="33"/>
      <c r="Q84" s="33"/>
      <c r="R84" s="33"/>
      <c r="S84" s="33"/>
      <c r="T84" s="33"/>
      <c r="U84" s="33"/>
      <c r="V84" s="33"/>
      <c r="W84" s="33"/>
      <c r="X84" s="33"/>
      <c r="Y84" s="33"/>
      <c r="Z84" s="33"/>
    </row>
    <row r="85" ht="14.25" customHeight="1">
      <c r="A85" s="38" t="s">
        <v>95</v>
      </c>
      <c r="B85" s="38" t="s">
        <v>92</v>
      </c>
      <c r="C85" s="38" t="s">
        <v>112</v>
      </c>
      <c r="D85" s="48">
        <v>6734.0</v>
      </c>
      <c r="E85" s="33"/>
      <c r="F85" s="33"/>
      <c r="G85" s="33"/>
      <c r="H85" s="33"/>
      <c r="I85" s="33"/>
      <c r="J85" s="33"/>
      <c r="K85" s="33"/>
      <c r="L85" s="33"/>
      <c r="M85" s="33"/>
      <c r="N85" s="33"/>
      <c r="O85" s="33"/>
      <c r="P85" s="33"/>
      <c r="Q85" s="33"/>
      <c r="R85" s="33"/>
      <c r="S85" s="33"/>
      <c r="T85" s="33"/>
      <c r="U85" s="33"/>
      <c r="V85" s="33"/>
      <c r="W85" s="33"/>
      <c r="X85" s="33"/>
      <c r="Y85" s="33"/>
      <c r="Z85" s="33"/>
    </row>
    <row r="86" ht="14.25" customHeight="1">
      <c r="A86" s="38" t="s">
        <v>95</v>
      </c>
      <c r="B86" s="38" t="s">
        <v>92</v>
      </c>
      <c r="C86" s="38" t="s">
        <v>113</v>
      </c>
      <c r="D86" s="48">
        <v>1171.0</v>
      </c>
      <c r="E86" s="33"/>
      <c r="F86" s="33"/>
      <c r="G86" s="33"/>
      <c r="H86" s="33"/>
      <c r="I86" s="33"/>
      <c r="J86" s="33"/>
      <c r="K86" s="33"/>
      <c r="L86" s="33"/>
      <c r="M86" s="33"/>
      <c r="N86" s="33"/>
      <c r="O86" s="33"/>
      <c r="P86" s="33"/>
      <c r="Q86" s="33"/>
      <c r="R86" s="33"/>
      <c r="S86" s="33"/>
      <c r="T86" s="33"/>
      <c r="U86" s="33"/>
      <c r="V86" s="33"/>
      <c r="W86" s="33"/>
      <c r="X86" s="33"/>
      <c r="Y86" s="33"/>
      <c r="Z86" s="33"/>
    </row>
    <row r="87" ht="14.25" customHeight="1">
      <c r="A87" s="38" t="s">
        <v>95</v>
      </c>
      <c r="B87" s="38" t="s">
        <v>92</v>
      </c>
      <c r="C87" s="38" t="s">
        <v>114</v>
      </c>
      <c r="D87" s="48">
        <v>0.0</v>
      </c>
      <c r="E87" s="33"/>
      <c r="F87" s="33"/>
      <c r="G87" s="33"/>
      <c r="H87" s="33"/>
      <c r="I87" s="33"/>
      <c r="J87" s="33"/>
      <c r="K87" s="33"/>
      <c r="L87" s="33"/>
      <c r="M87" s="33"/>
      <c r="N87" s="33"/>
      <c r="O87" s="33"/>
      <c r="P87" s="33"/>
      <c r="Q87" s="33"/>
      <c r="R87" s="33"/>
      <c r="S87" s="33"/>
      <c r="T87" s="33"/>
      <c r="U87" s="33"/>
      <c r="V87" s="33"/>
      <c r="W87" s="33"/>
      <c r="X87" s="33"/>
      <c r="Y87" s="33"/>
      <c r="Z87" s="33"/>
    </row>
    <row r="88" ht="14.25" customHeight="1">
      <c r="A88" s="38" t="s">
        <v>95</v>
      </c>
      <c r="B88" s="38" t="s">
        <v>92</v>
      </c>
      <c r="C88" s="38" t="s">
        <v>115</v>
      </c>
      <c r="D88" s="48">
        <v>0.0</v>
      </c>
      <c r="E88" s="33"/>
      <c r="F88" s="33"/>
      <c r="G88" s="33"/>
      <c r="H88" s="33"/>
      <c r="I88" s="33"/>
      <c r="J88" s="33"/>
      <c r="K88" s="33"/>
      <c r="L88" s="33"/>
      <c r="M88" s="33"/>
      <c r="N88" s="33"/>
      <c r="O88" s="33"/>
      <c r="P88" s="33"/>
      <c r="Q88" s="33"/>
      <c r="R88" s="33"/>
      <c r="S88" s="33"/>
      <c r="T88" s="33"/>
      <c r="U88" s="33"/>
      <c r="V88" s="33"/>
      <c r="W88" s="33"/>
      <c r="X88" s="33"/>
      <c r="Y88" s="33"/>
      <c r="Z88" s="33"/>
    </row>
    <row r="89" ht="14.25" customHeight="1">
      <c r="A89" s="38" t="s">
        <v>95</v>
      </c>
      <c r="B89" s="38" t="s">
        <v>92</v>
      </c>
      <c r="C89" s="38" t="s">
        <v>116</v>
      </c>
      <c r="D89" s="48">
        <v>0.0</v>
      </c>
      <c r="E89" s="33"/>
      <c r="F89" s="33"/>
      <c r="G89" s="33"/>
      <c r="H89" s="33"/>
      <c r="I89" s="33"/>
      <c r="J89" s="33"/>
      <c r="K89" s="33"/>
      <c r="L89" s="33"/>
      <c r="M89" s="33"/>
      <c r="N89" s="33"/>
      <c r="O89" s="33"/>
      <c r="P89" s="33"/>
      <c r="Q89" s="33"/>
      <c r="R89" s="33"/>
      <c r="S89" s="33"/>
      <c r="T89" s="33"/>
      <c r="U89" s="33"/>
      <c r="V89" s="33"/>
      <c r="W89" s="33"/>
      <c r="X89" s="33"/>
      <c r="Y89" s="33"/>
      <c r="Z89" s="33"/>
    </row>
    <row r="90" ht="14.25" customHeight="1">
      <c r="A90" s="38" t="s">
        <v>95</v>
      </c>
      <c r="B90" s="38" t="s">
        <v>92</v>
      </c>
      <c r="C90" s="38" t="s">
        <v>117</v>
      </c>
      <c r="D90" s="48">
        <v>6441.0</v>
      </c>
      <c r="E90" s="33"/>
      <c r="F90" s="33"/>
      <c r="G90" s="33"/>
      <c r="H90" s="33"/>
      <c r="I90" s="33"/>
      <c r="J90" s="33"/>
      <c r="K90" s="33"/>
      <c r="L90" s="33"/>
      <c r="M90" s="33"/>
      <c r="N90" s="33"/>
      <c r="O90" s="33"/>
      <c r="P90" s="33"/>
      <c r="Q90" s="33"/>
      <c r="R90" s="33"/>
      <c r="S90" s="33"/>
      <c r="T90" s="33"/>
      <c r="U90" s="33"/>
      <c r="V90" s="33"/>
      <c r="W90" s="33"/>
      <c r="X90" s="33"/>
      <c r="Y90" s="33"/>
      <c r="Z90" s="33"/>
    </row>
    <row r="91" ht="14.25" customHeight="1">
      <c r="A91" s="38" t="s">
        <v>95</v>
      </c>
      <c r="B91" s="38" t="s">
        <v>97</v>
      </c>
      <c r="C91" s="38" t="s">
        <v>103</v>
      </c>
      <c r="D91" s="48">
        <v>911.0</v>
      </c>
      <c r="E91" s="33"/>
      <c r="F91" s="33"/>
      <c r="G91" s="33"/>
      <c r="H91" s="33"/>
      <c r="I91" s="33"/>
      <c r="J91" s="33"/>
      <c r="K91" s="33"/>
      <c r="L91" s="33"/>
      <c r="M91" s="33"/>
      <c r="N91" s="33"/>
      <c r="O91" s="33"/>
      <c r="P91" s="33"/>
      <c r="Q91" s="33"/>
      <c r="R91" s="33"/>
      <c r="S91" s="33"/>
      <c r="T91" s="33"/>
      <c r="U91" s="33"/>
      <c r="V91" s="33"/>
      <c r="W91" s="33"/>
      <c r="X91" s="33"/>
      <c r="Y91" s="33"/>
      <c r="Z91" s="33"/>
    </row>
    <row r="92" ht="14.25" customHeight="1">
      <c r="A92" s="38" t="s">
        <v>95</v>
      </c>
      <c r="B92" s="38" t="s">
        <v>97</v>
      </c>
      <c r="C92" s="38" t="s">
        <v>104</v>
      </c>
      <c r="D92" s="48">
        <v>2277.0</v>
      </c>
      <c r="E92" s="33"/>
      <c r="F92" s="33"/>
      <c r="G92" s="33"/>
      <c r="H92" s="33"/>
      <c r="I92" s="33"/>
      <c r="J92" s="33"/>
      <c r="K92" s="33"/>
      <c r="L92" s="33"/>
      <c r="M92" s="33"/>
      <c r="N92" s="33"/>
      <c r="O92" s="33"/>
      <c r="P92" s="33"/>
      <c r="Q92" s="33"/>
      <c r="R92" s="33"/>
      <c r="S92" s="33"/>
      <c r="T92" s="33"/>
      <c r="U92" s="33"/>
      <c r="V92" s="33"/>
      <c r="W92" s="33"/>
      <c r="X92" s="33"/>
      <c r="Y92" s="33"/>
      <c r="Z92" s="33"/>
    </row>
    <row r="93" ht="14.25" customHeight="1">
      <c r="A93" s="38" t="s">
        <v>95</v>
      </c>
      <c r="B93" s="38" t="s">
        <v>97</v>
      </c>
      <c r="C93" s="38" t="s">
        <v>105</v>
      </c>
      <c r="D93" s="48">
        <v>3188.0</v>
      </c>
      <c r="E93" s="33"/>
      <c r="F93" s="33"/>
      <c r="G93" s="33"/>
      <c r="H93" s="33"/>
      <c r="I93" s="33"/>
      <c r="J93" s="33"/>
      <c r="K93" s="33"/>
      <c r="L93" s="33"/>
      <c r="M93" s="33"/>
      <c r="N93" s="33"/>
      <c r="O93" s="33"/>
      <c r="P93" s="33"/>
      <c r="Q93" s="33"/>
      <c r="R93" s="33"/>
      <c r="S93" s="33"/>
      <c r="T93" s="33"/>
      <c r="U93" s="33"/>
      <c r="V93" s="33"/>
      <c r="W93" s="33"/>
      <c r="X93" s="33"/>
      <c r="Y93" s="33"/>
      <c r="Z93" s="33"/>
    </row>
    <row r="94" ht="14.25" customHeight="1">
      <c r="A94" s="38" t="s">
        <v>95</v>
      </c>
      <c r="B94" s="38" t="s">
        <v>97</v>
      </c>
      <c r="C94" s="38" t="s">
        <v>106</v>
      </c>
      <c r="D94" s="48">
        <v>3643.0</v>
      </c>
      <c r="E94" s="33"/>
      <c r="F94" s="33"/>
      <c r="G94" s="33"/>
      <c r="H94" s="33"/>
      <c r="I94" s="33"/>
      <c r="J94" s="33"/>
      <c r="K94" s="33"/>
      <c r="L94" s="33"/>
      <c r="M94" s="33"/>
      <c r="N94" s="33"/>
      <c r="O94" s="33"/>
      <c r="P94" s="33"/>
      <c r="Q94" s="33"/>
      <c r="R94" s="33"/>
      <c r="S94" s="33"/>
      <c r="T94" s="33"/>
      <c r="U94" s="33"/>
      <c r="V94" s="33"/>
      <c r="W94" s="33"/>
      <c r="X94" s="33"/>
      <c r="Y94" s="33"/>
      <c r="Z94" s="33"/>
    </row>
    <row r="95" ht="14.25" customHeight="1">
      <c r="A95" s="38" t="s">
        <v>95</v>
      </c>
      <c r="B95" s="38" t="s">
        <v>97</v>
      </c>
      <c r="C95" s="38" t="s">
        <v>107</v>
      </c>
      <c r="D95" s="48">
        <v>5465.0</v>
      </c>
      <c r="E95" s="33"/>
      <c r="F95" s="33"/>
      <c r="G95" s="33"/>
      <c r="H95" s="33"/>
      <c r="I95" s="33"/>
      <c r="J95" s="33"/>
      <c r="K95" s="33"/>
      <c r="L95" s="33"/>
      <c r="M95" s="33"/>
      <c r="N95" s="33"/>
      <c r="O95" s="33"/>
      <c r="P95" s="33"/>
      <c r="Q95" s="33"/>
      <c r="R95" s="33"/>
      <c r="S95" s="33"/>
      <c r="T95" s="33"/>
      <c r="U95" s="33"/>
      <c r="V95" s="33"/>
      <c r="W95" s="33"/>
      <c r="X95" s="33"/>
      <c r="Y95" s="33"/>
      <c r="Z95" s="33"/>
    </row>
    <row r="96" ht="14.25" customHeight="1">
      <c r="A96" s="38" t="s">
        <v>95</v>
      </c>
      <c r="B96" s="38" t="s">
        <v>97</v>
      </c>
      <c r="C96" s="38" t="s">
        <v>108</v>
      </c>
      <c r="D96" s="48">
        <v>0.0</v>
      </c>
      <c r="E96" s="33"/>
      <c r="F96" s="33"/>
      <c r="G96" s="33"/>
      <c r="H96" s="33"/>
      <c r="I96" s="33"/>
      <c r="J96" s="33"/>
      <c r="K96" s="33"/>
      <c r="L96" s="33"/>
      <c r="M96" s="33"/>
      <c r="N96" s="33"/>
      <c r="O96" s="33"/>
      <c r="P96" s="33"/>
      <c r="Q96" s="33"/>
      <c r="R96" s="33"/>
      <c r="S96" s="33"/>
      <c r="T96" s="33"/>
      <c r="U96" s="33"/>
      <c r="V96" s="33"/>
      <c r="W96" s="33"/>
      <c r="X96" s="33"/>
      <c r="Y96" s="33"/>
      <c r="Z96" s="33"/>
    </row>
    <row r="97" ht="14.25" customHeight="1">
      <c r="A97" s="38" t="s">
        <v>95</v>
      </c>
      <c r="B97" s="38" t="s">
        <v>97</v>
      </c>
      <c r="C97" s="38" t="s">
        <v>109</v>
      </c>
      <c r="D97" s="48">
        <v>0.0</v>
      </c>
      <c r="E97" s="33"/>
      <c r="F97" s="33"/>
      <c r="G97" s="33"/>
      <c r="H97" s="33"/>
      <c r="I97" s="33"/>
      <c r="J97" s="33"/>
      <c r="K97" s="33"/>
      <c r="L97" s="33"/>
      <c r="M97" s="33"/>
      <c r="N97" s="33"/>
      <c r="O97" s="33"/>
      <c r="P97" s="33"/>
      <c r="Q97" s="33"/>
      <c r="R97" s="33"/>
      <c r="S97" s="33"/>
      <c r="T97" s="33"/>
      <c r="U97" s="33"/>
      <c r="V97" s="33"/>
      <c r="W97" s="33"/>
      <c r="X97" s="33"/>
      <c r="Y97" s="33"/>
      <c r="Z97" s="33"/>
    </row>
    <row r="98" ht="14.25" customHeight="1">
      <c r="A98" s="38" t="s">
        <v>95</v>
      </c>
      <c r="B98" s="38" t="s">
        <v>97</v>
      </c>
      <c r="C98" s="38" t="s">
        <v>110</v>
      </c>
      <c r="D98" s="48">
        <v>1822.0</v>
      </c>
      <c r="E98" s="33"/>
      <c r="F98" s="33"/>
      <c r="G98" s="33"/>
      <c r="H98" s="33"/>
      <c r="I98" s="33"/>
      <c r="J98" s="33"/>
      <c r="K98" s="33"/>
      <c r="L98" s="33"/>
      <c r="M98" s="33"/>
      <c r="N98" s="33"/>
      <c r="O98" s="33"/>
      <c r="P98" s="33"/>
      <c r="Q98" s="33"/>
      <c r="R98" s="33"/>
      <c r="S98" s="33"/>
      <c r="T98" s="33"/>
      <c r="U98" s="33"/>
      <c r="V98" s="33"/>
      <c r="W98" s="33"/>
      <c r="X98" s="33"/>
      <c r="Y98" s="33"/>
      <c r="Z98" s="33"/>
    </row>
    <row r="99" ht="14.25" customHeight="1">
      <c r="A99" s="38" t="s">
        <v>95</v>
      </c>
      <c r="B99" s="38" t="s">
        <v>97</v>
      </c>
      <c r="C99" s="38" t="s">
        <v>111</v>
      </c>
      <c r="D99" s="48">
        <v>2732.0</v>
      </c>
      <c r="E99" s="33"/>
      <c r="F99" s="33"/>
      <c r="G99" s="33"/>
      <c r="H99" s="33"/>
      <c r="I99" s="33"/>
      <c r="J99" s="33"/>
      <c r="K99" s="33"/>
      <c r="L99" s="33"/>
      <c r="M99" s="33"/>
      <c r="N99" s="33"/>
      <c r="O99" s="33"/>
      <c r="P99" s="33"/>
      <c r="Q99" s="33"/>
      <c r="R99" s="33"/>
      <c r="S99" s="33"/>
      <c r="T99" s="33"/>
      <c r="U99" s="33"/>
      <c r="V99" s="33"/>
      <c r="W99" s="33"/>
      <c r="X99" s="33"/>
      <c r="Y99" s="33"/>
      <c r="Z99" s="33"/>
    </row>
    <row r="100" ht="14.25" customHeight="1">
      <c r="A100" s="38" t="s">
        <v>95</v>
      </c>
      <c r="B100" s="38" t="s">
        <v>97</v>
      </c>
      <c r="C100" s="38" t="s">
        <v>112</v>
      </c>
      <c r="D100" s="48">
        <v>3188.0</v>
      </c>
      <c r="E100" s="33"/>
      <c r="F100" s="33"/>
      <c r="G100" s="33"/>
      <c r="H100" s="33"/>
      <c r="I100" s="33"/>
      <c r="J100" s="33"/>
      <c r="K100" s="33"/>
      <c r="L100" s="33"/>
      <c r="M100" s="33"/>
      <c r="N100" s="33"/>
      <c r="O100" s="33"/>
      <c r="P100" s="33"/>
      <c r="Q100" s="33"/>
      <c r="R100" s="33"/>
      <c r="S100" s="33"/>
      <c r="T100" s="33"/>
      <c r="U100" s="33"/>
      <c r="V100" s="33"/>
      <c r="W100" s="33"/>
      <c r="X100" s="33"/>
      <c r="Y100" s="33"/>
      <c r="Z100" s="33"/>
    </row>
    <row r="101" ht="14.25" customHeight="1">
      <c r="A101" s="38" t="s">
        <v>95</v>
      </c>
      <c r="B101" s="38" t="s">
        <v>97</v>
      </c>
      <c r="C101" s="38" t="s">
        <v>113</v>
      </c>
      <c r="D101" s="48">
        <v>5465.0</v>
      </c>
      <c r="E101" s="33"/>
      <c r="F101" s="33"/>
      <c r="G101" s="33"/>
      <c r="H101" s="33"/>
      <c r="I101" s="33"/>
      <c r="J101" s="33"/>
      <c r="K101" s="33"/>
      <c r="L101" s="33"/>
      <c r="M101" s="33"/>
      <c r="N101" s="33"/>
      <c r="O101" s="33"/>
      <c r="P101" s="33"/>
      <c r="Q101" s="33"/>
      <c r="R101" s="33"/>
      <c r="S101" s="33"/>
      <c r="T101" s="33"/>
      <c r="U101" s="33"/>
      <c r="V101" s="33"/>
      <c r="W101" s="33"/>
      <c r="X101" s="33"/>
      <c r="Y101" s="33"/>
      <c r="Z101" s="33"/>
    </row>
    <row r="102" ht="14.25" customHeight="1">
      <c r="A102" s="38" t="s">
        <v>95</v>
      </c>
      <c r="B102" s="38" t="s">
        <v>97</v>
      </c>
      <c r="C102" s="38" t="s">
        <v>114</v>
      </c>
      <c r="D102" s="48">
        <v>4554.0</v>
      </c>
      <c r="E102" s="33"/>
      <c r="F102" s="33"/>
      <c r="G102" s="33"/>
      <c r="H102" s="33"/>
      <c r="I102" s="33"/>
      <c r="J102" s="33"/>
      <c r="K102" s="33"/>
      <c r="L102" s="33"/>
      <c r="M102" s="33"/>
      <c r="N102" s="33"/>
      <c r="O102" s="33"/>
      <c r="P102" s="33"/>
      <c r="Q102" s="33"/>
      <c r="R102" s="33"/>
      <c r="S102" s="33"/>
      <c r="T102" s="33"/>
      <c r="U102" s="33"/>
      <c r="V102" s="33"/>
      <c r="W102" s="33"/>
      <c r="X102" s="33"/>
      <c r="Y102" s="33"/>
      <c r="Z102" s="33"/>
    </row>
    <row r="103" ht="14.25" customHeight="1">
      <c r="A103" s="38" t="s">
        <v>95</v>
      </c>
      <c r="B103" s="38" t="s">
        <v>97</v>
      </c>
      <c r="C103" s="38" t="s">
        <v>115</v>
      </c>
      <c r="D103" s="48">
        <v>455.0</v>
      </c>
      <c r="E103" s="33"/>
      <c r="F103" s="33"/>
      <c r="G103" s="33"/>
      <c r="H103" s="33"/>
      <c r="I103" s="33"/>
      <c r="J103" s="33"/>
      <c r="K103" s="33"/>
      <c r="L103" s="33"/>
      <c r="M103" s="33"/>
      <c r="N103" s="33"/>
      <c r="O103" s="33"/>
      <c r="P103" s="33"/>
      <c r="Q103" s="33"/>
      <c r="R103" s="33"/>
      <c r="S103" s="33"/>
      <c r="T103" s="33"/>
      <c r="U103" s="33"/>
      <c r="V103" s="33"/>
      <c r="W103" s="33"/>
      <c r="X103" s="33"/>
      <c r="Y103" s="33"/>
      <c r="Z103" s="33"/>
    </row>
    <row r="104" ht="14.25" customHeight="1">
      <c r="A104" s="38" t="s">
        <v>95</v>
      </c>
      <c r="B104" s="38" t="s">
        <v>97</v>
      </c>
      <c r="C104" s="38" t="s">
        <v>116</v>
      </c>
      <c r="D104" s="48">
        <v>911.0</v>
      </c>
      <c r="E104" s="33"/>
      <c r="F104" s="33"/>
      <c r="G104" s="33"/>
      <c r="H104" s="33"/>
      <c r="I104" s="33"/>
      <c r="J104" s="33"/>
      <c r="K104" s="33"/>
      <c r="L104" s="33"/>
      <c r="M104" s="33"/>
      <c r="N104" s="33"/>
      <c r="O104" s="33"/>
      <c r="P104" s="33"/>
      <c r="Q104" s="33"/>
      <c r="R104" s="33"/>
      <c r="S104" s="33"/>
      <c r="T104" s="33"/>
      <c r="U104" s="33"/>
      <c r="V104" s="33"/>
      <c r="W104" s="33"/>
      <c r="X104" s="33"/>
      <c r="Y104" s="33"/>
      <c r="Z104" s="33"/>
    </row>
    <row r="105" ht="14.25" customHeight="1">
      <c r="A105" s="38" t="s">
        <v>95</v>
      </c>
      <c r="B105" s="38" t="s">
        <v>97</v>
      </c>
      <c r="C105" s="38" t="s">
        <v>117</v>
      </c>
      <c r="D105" s="48">
        <v>10930.0</v>
      </c>
      <c r="E105" s="33"/>
      <c r="F105" s="33"/>
      <c r="G105" s="33"/>
      <c r="H105" s="33"/>
      <c r="I105" s="33"/>
      <c r="J105" s="33"/>
      <c r="K105" s="33"/>
      <c r="L105" s="33"/>
      <c r="M105" s="33"/>
      <c r="N105" s="33"/>
      <c r="O105" s="33"/>
      <c r="P105" s="33"/>
      <c r="Q105" s="33"/>
      <c r="R105" s="33"/>
      <c r="S105" s="33"/>
      <c r="T105" s="33"/>
      <c r="U105" s="33"/>
      <c r="V105" s="33"/>
      <c r="W105" s="33"/>
      <c r="X105" s="33"/>
      <c r="Y105" s="33"/>
      <c r="Z105" s="33"/>
    </row>
    <row r="106" ht="14.25" customHeight="1">
      <c r="A106" s="38" t="s">
        <v>95</v>
      </c>
      <c r="B106" s="38" t="s">
        <v>101</v>
      </c>
      <c r="C106" s="38" t="s">
        <v>103</v>
      </c>
      <c r="D106" s="48">
        <v>1708.0</v>
      </c>
      <c r="E106" s="33"/>
      <c r="F106" s="33"/>
      <c r="G106" s="33"/>
      <c r="H106" s="33"/>
      <c r="I106" s="33"/>
      <c r="J106" s="33"/>
      <c r="K106" s="33"/>
      <c r="L106" s="33"/>
      <c r="M106" s="33"/>
      <c r="N106" s="33"/>
      <c r="O106" s="33"/>
      <c r="P106" s="33"/>
      <c r="Q106" s="33"/>
      <c r="R106" s="33"/>
      <c r="S106" s="33"/>
      <c r="T106" s="33"/>
      <c r="U106" s="33"/>
      <c r="V106" s="33"/>
      <c r="W106" s="33"/>
      <c r="X106" s="33"/>
      <c r="Y106" s="33"/>
      <c r="Z106" s="33"/>
    </row>
    <row r="107" ht="14.25" customHeight="1">
      <c r="A107" s="38" t="s">
        <v>95</v>
      </c>
      <c r="B107" s="38" t="s">
        <v>101</v>
      </c>
      <c r="C107" s="38" t="s">
        <v>104</v>
      </c>
      <c r="D107" s="48">
        <v>683.0</v>
      </c>
      <c r="E107" s="33"/>
      <c r="F107" s="33"/>
      <c r="G107" s="33"/>
      <c r="H107" s="33"/>
      <c r="I107" s="33"/>
      <c r="J107" s="33"/>
      <c r="K107" s="33"/>
      <c r="L107" s="33"/>
      <c r="M107" s="33"/>
      <c r="N107" s="33"/>
      <c r="O107" s="33"/>
      <c r="P107" s="33"/>
      <c r="Q107" s="33"/>
      <c r="R107" s="33"/>
      <c r="S107" s="33"/>
      <c r="T107" s="33"/>
      <c r="U107" s="33"/>
      <c r="V107" s="33"/>
      <c r="W107" s="33"/>
      <c r="X107" s="33"/>
      <c r="Y107" s="33"/>
      <c r="Z107" s="33"/>
    </row>
    <row r="108" ht="14.25" customHeight="1">
      <c r="A108" s="38" t="s">
        <v>95</v>
      </c>
      <c r="B108" s="38" t="s">
        <v>101</v>
      </c>
      <c r="C108" s="38" t="s">
        <v>105</v>
      </c>
      <c r="D108" s="48">
        <v>683.0</v>
      </c>
      <c r="E108" s="33"/>
      <c r="F108" s="33"/>
      <c r="G108" s="33"/>
      <c r="H108" s="33"/>
      <c r="I108" s="33"/>
      <c r="J108" s="33"/>
      <c r="K108" s="33"/>
      <c r="L108" s="33"/>
      <c r="M108" s="33"/>
      <c r="N108" s="33"/>
      <c r="O108" s="33"/>
      <c r="P108" s="33"/>
      <c r="Q108" s="33"/>
      <c r="R108" s="33"/>
      <c r="S108" s="33"/>
      <c r="T108" s="33"/>
      <c r="U108" s="33"/>
      <c r="V108" s="33"/>
      <c r="W108" s="33"/>
      <c r="X108" s="33"/>
      <c r="Y108" s="33"/>
      <c r="Z108" s="33"/>
    </row>
    <row r="109" ht="14.25" customHeight="1">
      <c r="A109" s="38" t="s">
        <v>95</v>
      </c>
      <c r="B109" s="38" t="s">
        <v>101</v>
      </c>
      <c r="C109" s="38" t="s">
        <v>106</v>
      </c>
      <c r="D109" s="48">
        <v>683.0</v>
      </c>
      <c r="E109" s="33"/>
      <c r="F109" s="33"/>
      <c r="G109" s="33"/>
      <c r="H109" s="33"/>
      <c r="I109" s="33"/>
      <c r="J109" s="33"/>
      <c r="K109" s="33"/>
      <c r="L109" s="33"/>
      <c r="M109" s="33"/>
      <c r="N109" s="33"/>
      <c r="O109" s="33"/>
      <c r="P109" s="33"/>
      <c r="Q109" s="33"/>
      <c r="R109" s="33"/>
      <c r="S109" s="33"/>
      <c r="T109" s="33"/>
      <c r="U109" s="33"/>
      <c r="V109" s="33"/>
      <c r="W109" s="33"/>
      <c r="X109" s="33"/>
      <c r="Y109" s="33"/>
      <c r="Z109" s="33"/>
    </row>
    <row r="110" ht="14.25" customHeight="1">
      <c r="A110" s="38" t="s">
        <v>95</v>
      </c>
      <c r="B110" s="38" t="s">
        <v>101</v>
      </c>
      <c r="C110" s="38" t="s">
        <v>107</v>
      </c>
      <c r="D110" s="48">
        <v>6148.0</v>
      </c>
      <c r="E110" s="33"/>
      <c r="F110" s="33"/>
      <c r="G110" s="33"/>
      <c r="H110" s="33"/>
      <c r="I110" s="33"/>
      <c r="J110" s="33"/>
      <c r="K110" s="33"/>
      <c r="L110" s="33"/>
      <c r="M110" s="33"/>
      <c r="N110" s="33"/>
      <c r="O110" s="33"/>
      <c r="P110" s="33"/>
      <c r="Q110" s="33"/>
      <c r="R110" s="33"/>
      <c r="S110" s="33"/>
      <c r="T110" s="33"/>
      <c r="U110" s="33"/>
      <c r="V110" s="33"/>
      <c r="W110" s="33"/>
      <c r="X110" s="33"/>
      <c r="Y110" s="33"/>
      <c r="Z110" s="33"/>
    </row>
    <row r="111" ht="14.25" customHeight="1">
      <c r="A111" s="38" t="s">
        <v>95</v>
      </c>
      <c r="B111" s="38" t="s">
        <v>101</v>
      </c>
      <c r="C111" s="38" t="s">
        <v>108</v>
      </c>
      <c r="D111" s="48">
        <v>1025.0</v>
      </c>
      <c r="E111" s="33"/>
      <c r="F111" s="33"/>
      <c r="G111" s="33"/>
      <c r="H111" s="33"/>
      <c r="I111" s="33"/>
      <c r="J111" s="33"/>
      <c r="K111" s="33"/>
      <c r="L111" s="33"/>
      <c r="M111" s="33"/>
      <c r="N111" s="33"/>
      <c r="O111" s="33"/>
      <c r="P111" s="33"/>
      <c r="Q111" s="33"/>
      <c r="R111" s="33"/>
      <c r="S111" s="33"/>
      <c r="T111" s="33"/>
      <c r="U111" s="33"/>
      <c r="V111" s="33"/>
      <c r="W111" s="33"/>
      <c r="X111" s="33"/>
      <c r="Y111" s="33"/>
      <c r="Z111" s="33"/>
    </row>
    <row r="112" ht="14.25" customHeight="1">
      <c r="A112" s="38" t="s">
        <v>95</v>
      </c>
      <c r="B112" s="38" t="s">
        <v>101</v>
      </c>
      <c r="C112" s="38" t="s">
        <v>109</v>
      </c>
      <c r="D112" s="48">
        <v>683.0</v>
      </c>
      <c r="E112" s="33"/>
      <c r="F112" s="33"/>
      <c r="G112" s="33"/>
      <c r="H112" s="33"/>
      <c r="I112" s="33"/>
      <c r="J112" s="33"/>
      <c r="K112" s="33"/>
      <c r="L112" s="33"/>
      <c r="M112" s="33"/>
      <c r="N112" s="33"/>
      <c r="O112" s="33"/>
      <c r="P112" s="33"/>
      <c r="Q112" s="33"/>
      <c r="R112" s="33"/>
      <c r="S112" s="33"/>
      <c r="T112" s="33"/>
      <c r="U112" s="33"/>
      <c r="V112" s="33"/>
      <c r="W112" s="33"/>
      <c r="X112" s="33"/>
      <c r="Y112" s="33"/>
      <c r="Z112" s="33"/>
    </row>
    <row r="113" ht="14.25" customHeight="1">
      <c r="A113" s="38" t="s">
        <v>95</v>
      </c>
      <c r="B113" s="38" t="s">
        <v>101</v>
      </c>
      <c r="C113" s="38" t="s">
        <v>110</v>
      </c>
      <c r="D113" s="48">
        <v>1366.0</v>
      </c>
      <c r="E113" s="33"/>
      <c r="F113" s="33"/>
      <c r="G113" s="33"/>
      <c r="H113" s="33"/>
      <c r="I113" s="33"/>
      <c r="J113" s="33"/>
      <c r="K113" s="33"/>
      <c r="L113" s="33"/>
      <c r="M113" s="33"/>
      <c r="N113" s="33"/>
      <c r="O113" s="33"/>
      <c r="P113" s="33"/>
      <c r="Q113" s="33"/>
      <c r="R113" s="33"/>
      <c r="S113" s="33"/>
      <c r="T113" s="33"/>
      <c r="U113" s="33"/>
      <c r="V113" s="33"/>
      <c r="W113" s="33"/>
      <c r="X113" s="33"/>
      <c r="Y113" s="33"/>
      <c r="Z113" s="33"/>
    </row>
    <row r="114" ht="14.25" customHeight="1">
      <c r="A114" s="38" t="s">
        <v>95</v>
      </c>
      <c r="B114" s="38" t="s">
        <v>101</v>
      </c>
      <c r="C114" s="38" t="s">
        <v>111</v>
      </c>
      <c r="D114" s="48">
        <v>1708.0</v>
      </c>
      <c r="E114" s="33"/>
      <c r="F114" s="33"/>
      <c r="G114" s="33"/>
      <c r="H114" s="33"/>
      <c r="I114" s="33"/>
      <c r="J114" s="33"/>
      <c r="K114" s="33"/>
      <c r="L114" s="33"/>
      <c r="M114" s="33"/>
      <c r="N114" s="33"/>
      <c r="O114" s="33"/>
      <c r="P114" s="33"/>
      <c r="Q114" s="33"/>
      <c r="R114" s="33"/>
      <c r="S114" s="33"/>
      <c r="T114" s="33"/>
      <c r="U114" s="33"/>
      <c r="V114" s="33"/>
      <c r="W114" s="33"/>
      <c r="X114" s="33"/>
      <c r="Y114" s="33"/>
      <c r="Z114" s="33"/>
    </row>
    <row r="115" ht="14.25" customHeight="1">
      <c r="A115" s="38" t="s">
        <v>95</v>
      </c>
      <c r="B115" s="38" t="s">
        <v>101</v>
      </c>
      <c r="C115" s="38" t="s">
        <v>112</v>
      </c>
      <c r="D115" s="48">
        <v>6148.0</v>
      </c>
      <c r="E115" s="33"/>
      <c r="F115" s="33"/>
      <c r="G115" s="33"/>
      <c r="H115" s="33"/>
      <c r="I115" s="33"/>
      <c r="J115" s="33"/>
      <c r="K115" s="33"/>
      <c r="L115" s="33"/>
      <c r="M115" s="33"/>
      <c r="N115" s="33"/>
      <c r="O115" s="33"/>
      <c r="P115" s="33"/>
      <c r="Q115" s="33"/>
      <c r="R115" s="33"/>
      <c r="S115" s="33"/>
      <c r="T115" s="33"/>
      <c r="U115" s="33"/>
      <c r="V115" s="33"/>
      <c r="W115" s="33"/>
      <c r="X115" s="33"/>
      <c r="Y115" s="33"/>
      <c r="Z115" s="33"/>
    </row>
    <row r="116" ht="14.25" customHeight="1">
      <c r="A116" s="38" t="s">
        <v>95</v>
      </c>
      <c r="B116" s="38" t="s">
        <v>101</v>
      </c>
      <c r="C116" s="38" t="s">
        <v>113</v>
      </c>
      <c r="D116" s="48">
        <v>7514.0</v>
      </c>
      <c r="E116" s="33"/>
      <c r="F116" s="33"/>
      <c r="G116" s="33"/>
      <c r="H116" s="33"/>
      <c r="I116" s="33"/>
      <c r="J116" s="33"/>
      <c r="K116" s="33"/>
      <c r="L116" s="33"/>
      <c r="M116" s="33"/>
      <c r="N116" s="33"/>
      <c r="O116" s="33"/>
      <c r="P116" s="33"/>
      <c r="Q116" s="33"/>
      <c r="R116" s="33"/>
      <c r="S116" s="33"/>
      <c r="T116" s="33"/>
      <c r="U116" s="33"/>
      <c r="V116" s="33"/>
      <c r="W116" s="33"/>
      <c r="X116" s="33"/>
      <c r="Y116" s="33"/>
      <c r="Z116" s="33"/>
    </row>
    <row r="117" ht="14.25" customHeight="1">
      <c r="A117" s="38" t="s">
        <v>95</v>
      </c>
      <c r="B117" s="38" t="s">
        <v>101</v>
      </c>
      <c r="C117" s="38" t="s">
        <v>114</v>
      </c>
      <c r="D117" s="48">
        <v>683.0</v>
      </c>
      <c r="E117" s="33"/>
      <c r="F117" s="33"/>
      <c r="G117" s="33"/>
      <c r="H117" s="33"/>
      <c r="I117" s="33"/>
      <c r="J117" s="33"/>
      <c r="K117" s="33"/>
      <c r="L117" s="33"/>
      <c r="M117" s="33"/>
      <c r="N117" s="33"/>
      <c r="O117" s="33"/>
      <c r="P117" s="33"/>
      <c r="Q117" s="33"/>
      <c r="R117" s="33"/>
      <c r="S117" s="33"/>
      <c r="T117" s="33"/>
      <c r="U117" s="33"/>
      <c r="V117" s="33"/>
      <c r="W117" s="33"/>
      <c r="X117" s="33"/>
      <c r="Y117" s="33"/>
      <c r="Z117" s="33"/>
    </row>
    <row r="118" ht="14.25" customHeight="1">
      <c r="A118" s="38" t="s">
        <v>95</v>
      </c>
      <c r="B118" s="38" t="s">
        <v>101</v>
      </c>
      <c r="C118" s="38" t="s">
        <v>115</v>
      </c>
      <c r="D118" s="48">
        <v>342.0</v>
      </c>
      <c r="E118" s="33"/>
      <c r="F118" s="33"/>
      <c r="G118" s="33"/>
      <c r="H118" s="33"/>
      <c r="I118" s="33"/>
      <c r="J118" s="33"/>
      <c r="K118" s="33"/>
      <c r="L118" s="33"/>
      <c r="M118" s="33"/>
      <c r="N118" s="33"/>
      <c r="O118" s="33"/>
      <c r="P118" s="33"/>
      <c r="Q118" s="33"/>
      <c r="R118" s="33"/>
      <c r="S118" s="33"/>
      <c r="T118" s="33"/>
      <c r="U118" s="33"/>
      <c r="V118" s="33"/>
      <c r="W118" s="33"/>
      <c r="X118" s="33"/>
      <c r="Y118" s="33"/>
      <c r="Z118" s="33"/>
    </row>
    <row r="119" ht="14.25" customHeight="1">
      <c r="A119" s="38" t="s">
        <v>95</v>
      </c>
      <c r="B119" s="38" t="s">
        <v>101</v>
      </c>
      <c r="C119" s="38" t="s">
        <v>116</v>
      </c>
      <c r="D119" s="48">
        <v>3416.0</v>
      </c>
      <c r="E119" s="33"/>
      <c r="F119" s="33"/>
      <c r="G119" s="33"/>
      <c r="H119" s="33"/>
      <c r="I119" s="33"/>
      <c r="J119" s="33"/>
      <c r="K119" s="33"/>
      <c r="L119" s="33"/>
      <c r="M119" s="33"/>
      <c r="N119" s="33"/>
      <c r="O119" s="33"/>
      <c r="P119" s="33"/>
      <c r="Q119" s="33"/>
      <c r="R119" s="33"/>
      <c r="S119" s="33"/>
      <c r="T119" s="33"/>
      <c r="U119" s="33"/>
      <c r="V119" s="33"/>
      <c r="W119" s="33"/>
      <c r="X119" s="33"/>
      <c r="Y119" s="33"/>
      <c r="Z119" s="33"/>
    </row>
    <row r="120" ht="14.25" customHeight="1">
      <c r="A120" s="38" t="s">
        <v>95</v>
      </c>
      <c r="B120" s="38" t="s">
        <v>101</v>
      </c>
      <c r="C120" s="38" t="s">
        <v>117</v>
      </c>
      <c r="D120" s="48">
        <v>1366.0</v>
      </c>
      <c r="E120" s="33"/>
      <c r="F120" s="33"/>
      <c r="G120" s="33"/>
      <c r="H120" s="33"/>
      <c r="I120" s="33"/>
      <c r="J120" s="33"/>
      <c r="K120" s="33"/>
      <c r="L120" s="33"/>
      <c r="M120" s="33"/>
      <c r="N120" s="33"/>
      <c r="O120" s="33"/>
      <c r="P120" s="33"/>
      <c r="Q120" s="33"/>
      <c r="R120" s="33"/>
      <c r="S120" s="33"/>
      <c r="T120" s="33"/>
      <c r="U120" s="33"/>
      <c r="V120" s="33"/>
      <c r="W120" s="33"/>
      <c r="X120" s="33"/>
      <c r="Y120" s="33"/>
      <c r="Z120" s="33"/>
    </row>
    <row r="121" ht="14.25" customHeight="1">
      <c r="A121" s="38" t="s">
        <v>95</v>
      </c>
      <c r="B121" s="38" t="s">
        <v>102</v>
      </c>
      <c r="C121" s="38" t="s">
        <v>103</v>
      </c>
      <c r="D121" s="48">
        <v>1220.0</v>
      </c>
      <c r="E121" s="33"/>
      <c r="F121" s="33"/>
      <c r="G121" s="33"/>
      <c r="H121" s="33"/>
      <c r="I121" s="33"/>
      <c r="J121" s="33"/>
      <c r="K121" s="33"/>
      <c r="L121" s="33"/>
      <c r="M121" s="33"/>
      <c r="N121" s="33"/>
      <c r="O121" s="33"/>
      <c r="P121" s="33"/>
      <c r="Q121" s="33"/>
      <c r="R121" s="33"/>
      <c r="S121" s="33"/>
      <c r="T121" s="33"/>
      <c r="U121" s="33"/>
      <c r="V121" s="33"/>
      <c r="W121" s="33"/>
      <c r="X121" s="33"/>
      <c r="Y121" s="33"/>
      <c r="Z121" s="33"/>
    </row>
    <row r="122" ht="14.25" customHeight="1">
      <c r="A122" s="38" t="s">
        <v>95</v>
      </c>
      <c r="B122" s="38" t="s">
        <v>102</v>
      </c>
      <c r="C122" s="38" t="s">
        <v>104</v>
      </c>
      <c r="D122" s="48">
        <v>2732.0</v>
      </c>
      <c r="E122" s="33"/>
      <c r="F122" s="33"/>
      <c r="G122" s="33"/>
      <c r="H122" s="33"/>
      <c r="I122" s="33"/>
      <c r="J122" s="33"/>
      <c r="K122" s="33"/>
      <c r="L122" s="33"/>
      <c r="M122" s="33"/>
      <c r="N122" s="33"/>
      <c r="O122" s="33"/>
      <c r="P122" s="33"/>
      <c r="Q122" s="33"/>
      <c r="R122" s="33"/>
      <c r="S122" s="33"/>
      <c r="T122" s="33"/>
      <c r="U122" s="33"/>
      <c r="V122" s="33"/>
      <c r="W122" s="33"/>
      <c r="X122" s="33"/>
      <c r="Y122" s="33"/>
      <c r="Z122" s="33"/>
    </row>
    <row r="123" ht="14.25" customHeight="1">
      <c r="A123" s="38" t="s">
        <v>95</v>
      </c>
      <c r="B123" s="38" t="s">
        <v>102</v>
      </c>
      <c r="C123" s="38" t="s">
        <v>105</v>
      </c>
      <c r="D123" s="48">
        <v>9563.0</v>
      </c>
      <c r="E123" s="33"/>
      <c r="F123" s="33"/>
      <c r="G123" s="33"/>
      <c r="H123" s="33"/>
      <c r="I123" s="33"/>
      <c r="J123" s="33"/>
      <c r="K123" s="33"/>
      <c r="L123" s="33"/>
      <c r="M123" s="33"/>
      <c r="N123" s="33"/>
      <c r="O123" s="33"/>
      <c r="P123" s="33"/>
      <c r="Q123" s="33"/>
      <c r="R123" s="33"/>
      <c r="S123" s="33"/>
      <c r="T123" s="33"/>
      <c r="U123" s="33"/>
      <c r="V123" s="33"/>
      <c r="W123" s="33"/>
      <c r="X123" s="33"/>
      <c r="Y123" s="33"/>
      <c r="Z123" s="33"/>
    </row>
    <row r="124" ht="14.25" customHeight="1">
      <c r="A124" s="38" t="s">
        <v>95</v>
      </c>
      <c r="B124" s="38" t="s">
        <v>102</v>
      </c>
      <c r="C124" s="38" t="s">
        <v>113</v>
      </c>
      <c r="D124" s="48">
        <v>1025.0</v>
      </c>
      <c r="E124" s="33"/>
      <c r="F124" s="33"/>
      <c r="G124" s="33"/>
      <c r="H124" s="33"/>
      <c r="I124" s="33"/>
      <c r="J124" s="33"/>
      <c r="K124" s="33"/>
      <c r="L124" s="33"/>
      <c r="M124" s="33"/>
      <c r="N124" s="33"/>
      <c r="O124" s="33"/>
      <c r="P124" s="33"/>
      <c r="Q124" s="33"/>
      <c r="R124" s="33"/>
      <c r="S124" s="33"/>
      <c r="T124" s="33"/>
      <c r="U124" s="33"/>
      <c r="V124" s="33"/>
      <c r="W124" s="33"/>
      <c r="X124" s="33"/>
      <c r="Y124" s="33"/>
      <c r="Z124" s="33"/>
    </row>
    <row r="125" ht="14.25" customHeight="1">
      <c r="A125" s="38" t="s">
        <v>95</v>
      </c>
      <c r="B125" s="38" t="s">
        <v>102</v>
      </c>
      <c r="C125" s="38" t="s">
        <v>114</v>
      </c>
      <c r="D125" s="48">
        <v>0.0</v>
      </c>
      <c r="E125" s="33"/>
      <c r="F125" s="33"/>
      <c r="G125" s="33"/>
      <c r="H125" s="33"/>
      <c r="I125" s="33"/>
      <c r="J125" s="33"/>
      <c r="K125" s="33"/>
      <c r="L125" s="33"/>
      <c r="M125" s="33"/>
      <c r="N125" s="33"/>
      <c r="O125" s="33"/>
      <c r="P125" s="33"/>
      <c r="Q125" s="33"/>
      <c r="R125" s="33"/>
      <c r="S125" s="33"/>
      <c r="T125" s="33"/>
      <c r="U125" s="33"/>
      <c r="V125" s="33"/>
      <c r="W125" s="33"/>
      <c r="X125" s="33"/>
      <c r="Y125" s="33"/>
      <c r="Z125" s="33"/>
    </row>
    <row r="126" ht="14.25" customHeight="1">
      <c r="A126" s="38" t="s">
        <v>95</v>
      </c>
      <c r="B126" s="38" t="s">
        <v>102</v>
      </c>
      <c r="C126" s="38" t="s">
        <v>115</v>
      </c>
      <c r="D126" s="48">
        <v>683.0</v>
      </c>
      <c r="E126" s="33"/>
      <c r="F126" s="33"/>
      <c r="G126" s="33"/>
      <c r="H126" s="33"/>
      <c r="I126" s="33"/>
      <c r="J126" s="33"/>
      <c r="K126" s="33"/>
      <c r="L126" s="33"/>
      <c r="M126" s="33"/>
      <c r="N126" s="33"/>
      <c r="O126" s="33"/>
      <c r="P126" s="33"/>
      <c r="Q126" s="33"/>
      <c r="R126" s="33"/>
      <c r="S126" s="33"/>
      <c r="T126" s="33"/>
      <c r="U126" s="33"/>
      <c r="V126" s="33"/>
      <c r="W126" s="33"/>
      <c r="X126" s="33"/>
      <c r="Y126" s="33"/>
      <c r="Z126" s="33"/>
    </row>
    <row r="127" ht="14.25" customHeight="1">
      <c r="A127" s="38" t="s">
        <v>95</v>
      </c>
      <c r="B127" s="38" t="s">
        <v>102</v>
      </c>
      <c r="C127" s="38" t="s">
        <v>116</v>
      </c>
      <c r="D127" s="48">
        <v>12979.0</v>
      </c>
      <c r="E127" s="33"/>
      <c r="F127" s="33"/>
      <c r="G127" s="33"/>
      <c r="H127" s="33"/>
      <c r="I127" s="33"/>
      <c r="J127" s="33"/>
      <c r="K127" s="33"/>
      <c r="L127" s="33"/>
      <c r="M127" s="33"/>
      <c r="N127" s="33"/>
      <c r="O127" s="33"/>
      <c r="P127" s="33"/>
      <c r="Q127" s="33"/>
      <c r="R127" s="33"/>
      <c r="S127" s="33"/>
      <c r="T127" s="33"/>
      <c r="U127" s="33"/>
      <c r="V127" s="33"/>
      <c r="W127" s="33"/>
      <c r="X127" s="33"/>
      <c r="Y127" s="33"/>
      <c r="Z127" s="33"/>
    </row>
    <row r="128" ht="14.25" customHeight="1">
      <c r="A128" s="38" t="s">
        <v>95</v>
      </c>
      <c r="B128" s="38" t="s">
        <v>102</v>
      </c>
      <c r="C128" s="38" t="s">
        <v>117</v>
      </c>
      <c r="D128" s="48">
        <v>5465.0</v>
      </c>
      <c r="E128" s="33"/>
      <c r="F128" s="33"/>
      <c r="G128" s="33"/>
      <c r="H128" s="33"/>
      <c r="I128" s="33"/>
      <c r="J128" s="33"/>
      <c r="K128" s="33"/>
      <c r="L128" s="33"/>
      <c r="M128" s="33"/>
      <c r="N128" s="33"/>
      <c r="O128" s="33"/>
      <c r="P128" s="33"/>
      <c r="Q128" s="33"/>
      <c r="R128" s="33"/>
      <c r="S128" s="33"/>
      <c r="T128" s="33"/>
      <c r="U128" s="33"/>
      <c r="V128" s="33"/>
      <c r="W128" s="33"/>
      <c r="X128" s="33"/>
      <c r="Y128" s="33"/>
      <c r="Z128" s="33"/>
    </row>
    <row r="129" ht="14.25" customHeight="1">
      <c r="A129" s="38" t="s">
        <v>118</v>
      </c>
      <c r="B129" s="38" t="s">
        <v>92</v>
      </c>
      <c r="C129" s="38" t="s">
        <v>119</v>
      </c>
      <c r="D129" s="48">
        <v>684.0</v>
      </c>
      <c r="E129" s="33"/>
      <c r="F129" s="33"/>
      <c r="G129" s="33"/>
      <c r="H129" s="33"/>
      <c r="I129" s="33"/>
      <c r="J129" s="33"/>
      <c r="K129" s="33"/>
      <c r="L129" s="33"/>
      <c r="M129" s="33"/>
      <c r="N129" s="33"/>
      <c r="O129" s="33"/>
      <c r="P129" s="33"/>
      <c r="Q129" s="33"/>
      <c r="R129" s="33"/>
      <c r="S129" s="33"/>
      <c r="T129" s="33"/>
      <c r="U129" s="33"/>
      <c r="V129" s="33"/>
      <c r="W129" s="33"/>
      <c r="X129" s="33"/>
      <c r="Y129" s="33"/>
      <c r="Z129" s="33"/>
    </row>
    <row r="130" ht="14.25" customHeight="1">
      <c r="A130" s="38" t="s">
        <v>118</v>
      </c>
      <c r="B130" s="38" t="s">
        <v>92</v>
      </c>
      <c r="C130" s="38" t="s">
        <v>120</v>
      </c>
      <c r="D130" s="48">
        <v>4104.0</v>
      </c>
      <c r="E130" s="33"/>
      <c r="F130" s="33"/>
      <c r="G130" s="33"/>
      <c r="H130" s="33"/>
      <c r="I130" s="33"/>
      <c r="J130" s="33"/>
      <c r="K130" s="33"/>
      <c r="L130" s="33"/>
      <c r="M130" s="33"/>
      <c r="N130" s="33"/>
      <c r="O130" s="33"/>
      <c r="P130" s="33"/>
      <c r="Q130" s="33"/>
      <c r="R130" s="33"/>
      <c r="S130" s="33"/>
      <c r="T130" s="33"/>
      <c r="U130" s="33"/>
      <c r="V130" s="33"/>
      <c r="W130" s="33"/>
      <c r="X130" s="33"/>
      <c r="Y130" s="33"/>
      <c r="Z130" s="33"/>
    </row>
    <row r="131" ht="14.25" customHeight="1">
      <c r="A131" s="38" t="s">
        <v>118</v>
      </c>
      <c r="B131" s="38" t="s">
        <v>92</v>
      </c>
      <c r="C131" s="38" t="s">
        <v>121</v>
      </c>
      <c r="D131" s="48">
        <v>0.0</v>
      </c>
      <c r="E131" s="33"/>
      <c r="F131" s="33"/>
      <c r="G131" s="33"/>
      <c r="H131" s="33"/>
      <c r="I131" s="33"/>
      <c r="J131" s="33"/>
      <c r="K131" s="33"/>
      <c r="L131" s="33"/>
      <c r="M131" s="33"/>
      <c r="N131" s="33"/>
      <c r="O131" s="33"/>
      <c r="P131" s="33"/>
      <c r="Q131" s="33"/>
      <c r="R131" s="33"/>
      <c r="S131" s="33"/>
      <c r="T131" s="33"/>
      <c r="U131" s="33"/>
      <c r="V131" s="33"/>
      <c r="W131" s="33"/>
      <c r="X131" s="33"/>
      <c r="Y131" s="33"/>
      <c r="Z131" s="33"/>
    </row>
    <row r="132" ht="14.25" customHeight="1">
      <c r="A132" s="38" t="s">
        <v>118</v>
      </c>
      <c r="B132" s="38" t="s">
        <v>92</v>
      </c>
      <c r="C132" s="38" t="s">
        <v>122</v>
      </c>
      <c r="D132" s="48">
        <v>1710.0</v>
      </c>
      <c r="E132" s="33"/>
      <c r="F132" s="33"/>
      <c r="G132" s="33"/>
      <c r="H132" s="33"/>
      <c r="I132" s="33"/>
      <c r="J132" s="33"/>
      <c r="K132" s="33"/>
      <c r="L132" s="33"/>
      <c r="M132" s="33"/>
      <c r="N132" s="33"/>
      <c r="O132" s="33"/>
      <c r="P132" s="33"/>
      <c r="Q132" s="33"/>
      <c r="R132" s="33"/>
      <c r="S132" s="33"/>
      <c r="T132" s="33"/>
      <c r="U132" s="33"/>
      <c r="V132" s="33"/>
      <c r="W132" s="33"/>
      <c r="X132" s="33"/>
      <c r="Y132" s="33"/>
      <c r="Z132" s="33"/>
    </row>
    <row r="133" ht="14.25" customHeight="1">
      <c r="A133" s="38" t="s">
        <v>118</v>
      </c>
      <c r="B133" s="38" t="s">
        <v>92</v>
      </c>
      <c r="C133" s="38" t="s">
        <v>123</v>
      </c>
      <c r="D133" s="48">
        <v>684.0</v>
      </c>
      <c r="E133" s="33"/>
      <c r="F133" s="33"/>
      <c r="G133" s="33"/>
      <c r="H133" s="33"/>
      <c r="I133" s="33"/>
      <c r="J133" s="33"/>
      <c r="K133" s="33"/>
      <c r="L133" s="33"/>
      <c r="M133" s="33"/>
      <c r="N133" s="33"/>
      <c r="O133" s="33"/>
      <c r="P133" s="33"/>
      <c r="Q133" s="33"/>
      <c r="R133" s="33"/>
      <c r="S133" s="33"/>
      <c r="T133" s="33"/>
      <c r="U133" s="33"/>
      <c r="V133" s="33"/>
      <c r="W133" s="33"/>
      <c r="X133" s="33"/>
      <c r="Y133" s="33"/>
      <c r="Z133" s="33"/>
    </row>
    <row r="134" ht="14.25" customHeight="1">
      <c r="A134" s="38" t="s">
        <v>118</v>
      </c>
      <c r="B134" s="38" t="s">
        <v>92</v>
      </c>
      <c r="C134" s="38" t="s">
        <v>124</v>
      </c>
      <c r="D134" s="48">
        <v>684.0</v>
      </c>
      <c r="E134" s="33"/>
      <c r="F134" s="33"/>
      <c r="G134" s="33"/>
      <c r="H134" s="33"/>
      <c r="I134" s="33"/>
      <c r="J134" s="33"/>
      <c r="K134" s="33"/>
      <c r="L134" s="33"/>
      <c r="M134" s="33"/>
      <c r="N134" s="33"/>
      <c r="O134" s="33"/>
      <c r="P134" s="33"/>
      <c r="Q134" s="33"/>
      <c r="R134" s="33"/>
      <c r="S134" s="33"/>
      <c r="T134" s="33"/>
      <c r="U134" s="33"/>
      <c r="V134" s="33"/>
      <c r="W134" s="33"/>
      <c r="X134" s="33"/>
      <c r="Y134" s="33"/>
      <c r="Z134" s="33"/>
    </row>
    <row r="135" ht="14.25" customHeight="1">
      <c r="A135" s="38" t="s">
        <v>118</v>
      </c>
      <c r="B135" s="38" t="s">
        <v>92</v>
      </c>
      <c r="C135" s="38" t="s">
        <v>125</v>
      </c>
      <c r="D135" s="48">
        <v>0.0</v>
      </c>
      <c r="E135" s="33"/>
      <c r="F135" s="33"/>
      <c r="G135" s="33"/>
      <c r="H135" s="33"/>
      <c r="I135" s="33"/>
      <c r="J135" s="33"/>
      <c r="K135" s="33"/>
      <c r="L135" s="33"/>
      <c r="M135" s="33"/>
      <c r="N135" s="33"/>
      <c r="O135" s="33"/>
      <c r="P135" s="33"/>
      <c r="Q135" s="33"/>
      <c r="R135" s="33"/>
      <c r="S135" s="33"/>
      <c r="T135" s="33"/>
      <c r="U135" s="33"/>
      <c r="V135" s="33"/>
      <c r="W135" s="33"/>
      <c r="X135" s="33"/>
      <c r="Y135" s="33"/>
      <c r="Z135" s="33"/>
    </row>
    <row r="136" ht="14.25" customHeight="1">
      <c r="A136" s="38" t="s">
        <v>118</v>
      </c>
      <c r="B136" s="38" t="s">
        <v>92</v>
      </c>
      <c r="C136" s="38" t="s">
        <v>126</v>
      </c>
      <c r="D136" s="48">
        <v>10259.0</v>
      </c>
      <c r="E136" s="33"/>
      <c r="F136" s="33"/>
      <c r="G136" s="33"/>
      <c r="H136" s="33"/>
      <c r="I136" s="33"/>
      <c r="J136" s="33"/>
      <c r="K136" s="33"/>
      <c r="L136" s="33"/>
      <c r="M136" s="33"/>
      <c r="N136" s="33"/>
      <c r="O136" s="33"/>
      <c r="P136" s="33"/>
      <c r="Q136" s="33"/>
      <c r="R136" s="33"/>
      <c r="S136" s="33"/>
      <c r="T136" s="33"/>
      <c r="U136" s="33"/>
      <c r="V136" s="33"/>
      <c r="W136" s="33"/>
      <c r="X136" s="33"/>
      <c r="Y136" s="33"/>
      <c r="Z136" s="33"/>
    </row>
    <row r="137" ht="14.25" customHeight="1">
      <c r="A137" s="38" t="s">
        <v>118</v>
      </c>
      <c r="B137" s="38" t="s">
        <v>92</v>
      </c>
      <c r="C137" s="38" t="s">
        <v>127</v>
      </c>
      <c r="D137" s="48">
        <v>1026.0</v>
      </c>
      <c r="E137" s="33"/>
      <c r="F137" s="33"/>
      <c r="G137" s="33"/>
      <c r="H137" s="33"/>
      <c r="I137" s="33"/>
      <c r="J137" s="33"/>
      <c r="K137" s="33"/>
      <c r="L137" s="33"/>
      <c r="M137" s="33"/>
      <c r="N137" s="33"/>
      <c r="O137" s="33"/>
      <c r="P137" s="33"/>
      <c r="Q137" s="33"/>
      <c r="R137" s="33"/>
      <c r="S137" s="33"/>
      <c r="T137" s="33"/>
      <c r="U137" s="33"/>
      <c r="V137" s="33"/>
      <c r="W137" s="33"/>
      <c r="X137" s="33"/>
      <c r="Y137" s="33"/>
      <c r="Z137" s="33"/>
    </row>
    <row r="138" ht="14.25" customHeight="1">
      <c r="A138" s="38" t="s">
        <v>118</v>
      </c>
      <c r="B138" s="38" t="s">
        <v>92</v>
      </c>
      <c r="C138" s="38" t="s">
        <v>128</v>
      </c>
      <c r="D138" s="48">
        <v>342.0</v>
      </c>
      <c r="E138" s="33"/>
      <c r="F138" s="33"/>
      <c r="G138" s="33"/>
      <c r="H138" s="33"/>
      <c r="I138" s="33"/>
      <c r="J138" s="33"/>
      <c r="K138" s="33"/>
      <c r="L138" s="33"/>
      <c r="M138" s="33"/>
      <c r="N138" s="33"/>
      <c r="O138" s="33"/>
      <c r="P138" s="33"/>
      <c r="Q138" s="33"/>
      <c r="R138" s="33"/>
      <c r="S138" s="33"/>
      <c r="T138" s="33"/>
      <c r="U138" s="33"/>
      <c r="V138" s="33"/>
      <c r="W138" s="33"/>
      <c r="X138" s="33"/>
      <c r="Y138" s="33"/>
      <c r="Z138" s="33"/>
    </row>
    <row r="139" ht="14.25" customHeight="1">
      <c r="A139" s="38" t="s">
        <v>118</v>
      </c>
      <c r="B139" s="38" t="s">
        <v>92</v>
      </c>
      <c r="C139" s="38" t="s">
        <v>129</v>
      </c>
      <c r="D139" s="48">
        <v>684.0</v>
      </c>
      <c r="E139" s="33"/>
      <c r="F139" s="33"/>
      <c r="G139" s="33"/>
      <c r="H139" s="33"/>
      <c r="I139" s="33"/>
      <c r="J139" s="33"/>
      <c r="K139" s="33"/>
      <c r="L139" s="33"/>
      <c r="M139" s="33"/>
      <c r="N139" s="33"/>
      <c r="O139" s="33"/>
      <c r="P139" s="33"/>
      <c r="Q139" s="33"/>
      <c r="R139" s="33"/>
      <c r="S139" s="33"/>
      <c r="T139" s="33"/>
      <c r="U139" s="33"/>
      <c r="V139" s="33"/>
      <c r="W139" s="33"/>
      <c r="X139" s="33"/>
      <c r="Y139" s="33"/>
      <c r="Z139" s="33"/>
    </row>
    <row r="140" ht="14.25" customHeight="1">
      <c r="A140" s="38" t="s">
        <v>118</v>
      </c>
      <c r="B140" s="38" t="s">
        <v>92</v>
      </c>
      <c r="C140" s="38" t="s">
        <v>130</v>
      </c>
      <c r="D140" s="48">
        <v>6839.0</v>
      </c>
      <c r="E140" s="33"/>
      <c r="F140" s="33"/>
      <c r="G140" s="33"/>
      <c r="H140" s="33"/>
      <c r="I140" s="33"/>
      <c r="J140" s="33"/>
      <c r="K140" s="33"/>
      <c r="L140" s="33"/>
      <c r="M140" s="33"/>
      <c r="N140" s="33"/>
      <c r="O140" s="33"/>
      <c r="P140" s="33"/>
      <c r="Q140" s="33"/>
      <c r="R140" s="33"/>
      <c r="S140" s="33"/>
      <c r="T140" s="33"/>
      <c r="U140" s="33"/>
      <c r="V140" s="33"/>
      <c r="W140" s="33"/>
      <c r="X140" s="33"/>
      <c r="Y140" s="33"/>
      <c r="Z140" s="33"/>
    </row>
    <row r="141" ht="14.25" customHeight="1">
      <c r="A141" s="38" t="s">
        <v>118</v>
      </c>
      <c r="B141" s="38" t="s">
        <v>92</v>
      </c>
      <c r="C141" s="38" t="s">
        <v>131</v>
      </c>
      <c r="D141" s="48">
        <v>7181.0</v>
      </c>
      <c r="E141" s="33"/>
      <c r="F141" s="33"/>
      <c r="G141" s="33"/>
      <c r="H141" s="33"/>
      <c r="I141" s="33"/>
      <c r="J141" s="33"/>
      <c r="K141" s="33"/>
      <c r="L141" s="33"/>
      <c r="M141" s="33"/>
      <c r="N141" s="33"/>
      <c r="O141" s="33"/>
      <c r="P141" s="33"/>
      <c r="Q141" s="33"/>
      <c r="R141" s="33"/>
      <c r="S141" s="33"/>
      <c r="T141" s="33"/>
      <c r="U141" s="33"/>
      <c r="V141" s="33"/>
      <c r="W141" s="33"/>
      <c r="X141" s="33"/>
      <c r="Y141" s="33"/>
      <c r="Z141" s="33"/>
    </row>
    <row r="142" ht="14.25" customHeight="1">
      <c r="A142" s="38" t="s">
        <v>118</v>
      </c>
      <c r="B142" s="38" t="s">
        <v>97</v>
      </c>
      <c r="C142" s="38" t="s">
        <v>119</v>
      </c>
      <c r="D142" s="48">
        <v>2622.0</v>
      </c>
      <c r="E142" s="33"/>
      <c r="F142" s="33"/>
      <c r="G142" s="33"/>
      <c r="H142" s="33"/>
      <c r="I142" s="33"/>
      <c r="J142" s="33"/>
      <c r="K142" s="33"/>
      <c r="L142" s="33"/>
      <c r="M142" s="33"/>
      <c r="N142" s="33"/>
      <c r="O142" s="33"/>
      <c r="P142" s="33"/>
      <c r="Q142" s="33"/>
      <c r="R142" s="33"/>
      <c r="S142" s="33"/>
      <c r="T142" s="33"/>
      <c r="U142" s="33"/>
      <c r="V142" s="33"/>
      <c r="W142" s="33"/>
      <c r="X142" s="33"/>
      <c r="Y142" s="33"/>
      <c r="Z142" s="33"/>
    </row>
    <row r="143" ht="14.25" customHeight="1">
      <c r="A143" s="38" t="s">
        <v>118</v>
      </c>
      <c r="B143" s="38" t="s">
        <v>97</v>
      </c>
      <c r="C143" s="38" t="s">
        <v>120</v>
      </c>
      <c r="D143" s="48">
        <v>2185.0</v>
      </c>
      <c r="E143" s="33"/>
      <c r="F143" s="33"/>
      <c r="G143" s="33"/>
      <c r="H143" s="33"/>
      <c r="I143" s="33"/>
      <c r="J143" s="33"/>
      <c r="K143" s="33"/>
      <c r="L143" s="33"/>
      <c r="M143" s="33"/>
      <c r="N143" s="33"/>
      <c r="O143" s="33"/>
      <c r="P143" s="33"/>
      <c r="Q143" s="33"/>
      <c r="R143" s="33"/>
      <c r="S143" s="33"/>
      <c r="T143" s="33"/>
      <c r="U143" s="33"/>
      <c r="V143" s="33"/>
      <c r="W143" s="33"/>
      <c r="X143" s="33"/>
      <c r="Y143" s="33"/>
      <c r="Z143" s="33"/>
    </row>
    <row r="144" ht="14.25" customHeight="1">
      <c r="A144" s="38" t="s">
        <v>118</v>
      </c>
      <c r="B144" s="38" t="s">
        <v>97</v>
      </c>
      <c r="C144" s="38" t="s">
        <v>121</v>
      </c>
      <c r="D144" s="48">
        <v>1748.0</v>
      </c>
      <c r="E144" s="33"/>
      <c r="F144" s="33"/>
      <c r="G144" s="33"/>
      <c r="H144" s="33"/>
      <c r="I144" s="33"/>
      <c r="J144" s="33"/>
      <c r="K144" s="33"/>
      <c r="L144" s="33"/>
      <c r="M144" s="33"/>
      <c r="N144" s="33"/>
      <c r="O144" s="33"/>
      <c r="P144" s="33"/>
      <c r="Q144" s="33"/>
      <c r="R144" s="33"/>
      <c r="S144" s="33"/>
      <c r="T144" s="33"/>
      <c r="U144" s="33"/>
      <c r="V144" s="33"/>
      <c r="W144" s="33"/>
      <c r="X144" s="33"/>
      <c r="Y144" s="33"/>
      <c r="Z144" s="33"/>
    </row>
    <row r="145" ht="14.25" customHeight="1">
      <c r="A145" s="38" t="s">
        <v>118</v>
      </c>
      <c r="B145" s="38" t="s">
        <v>97</v>
      </c>
      <c r="C145" s="38" t="s">
        <v>122</v>
      </c>
      <c r="D145" s="48">
        <v>5243.0</v>
      </c>
      <c r="E145" s="33"/>
      <c r="F145" s="33"/>
      <c r="G145" s="33"/>
      <c r="H145" s="33"/>
      <c r="I145" s="33"/>
      <c r="J145" s="33"/>
      <c r="K145" s="33"/>
      <c r="L145" s="33"/>
      <c r="M145" s="33"/>
      <c r="N145" s="33"/>
      <c r="O145" s="33"/>
      <c r="P145" s="33"/>
      <c r="Q145" s="33"/>
      <c r="R145" s="33"/>
      <c r="S145" s="33"/>
      <c r="T145" s="33"/>
      <c r="U145" s="33"/>
      <c r="V145" s="33"/>
      <c r="W145" s="33"/>
      <c r="X145" s="33"/>
      <c r="Y145" s="33"/>
      <c r="Z145" s="33"/>
    </row>
    <row r="146" ht="14.25" customHeight="1">
      <c r="A146" s="38" t="s">
        <v>118</v>
      </c>
      <c r="B146" s="38" t="s">
        <v>97</v>
      </c>
      <c r="C146" s="38" t="s">
        <v>123</v>
      </c>
      <c r="D146" s="48">
        <v>1311.0</v>
      </c>
      <c r="E146" s="33"/>
      <c r="F146" s="33"/>
      <c r="G146" s="33"/>
      <c r="H146" s="33"/>
      <c r="I146" s="33"/>
      <c r="J146" s="33"/>
      <c r="K146" s="33"/>
      <c r="L146" s="33"/>
      <c r="M146" s="33"/>
      <c r="N146" s="33"/>
      <c r="O146" s="33"/>
      <c r="P146" s="33"/>
      <c r="Q146" s="33"/>
      <c r="R146" s="33"/>
      <c r="S146" s="33"/>
      <c r="T146" s="33"/>
      <c r="U146" s="33"/>
      <c r="V146" s="33"/>
      <c r="W146" s="33"/>
      <c r="X146" s="33"/>
      <c r="Y146" s="33"/>
      <c r="Z146" s="33"/>
    </row>
    <row r="147" ht="14.25" customHeight="1">
      <c r="A147" s="38" t="s">
        <v>118</v>
      </c>
      <c r="B147" s="38" t="s">
        <v>97</v>
      </c>
      <c r="C147" s="38" t="s">
        <v>124</v>
      </c>
      <c r="D147" s="48">
        <v>13109.0</v>
      </c>
      <c r="E147" s="33"/>
      <c r="F147" s="33"/>
      <c r="G147" s="33"/>
      <c r="H147" s="33"/>
      <c r="I147" s="33"/>
      <c r="J147" s="33"/>
      <c r="K147" s="33"/>
      <c r="L147" s="33"/>
      <c r="M147" s="33"/>
      <c r="N147" s="33"/>
      <c r="O147" s="33"/>
      <c r="P147" s="33"/>
      <c r="Q147" s="33"/>
      <c r="R147" s="33"/>
      <c r="S147" s="33"/>
      <c r="T147" s="33"/>
      <c r="U147" s="33"/>
      <c r="V147" s="33"/>
      <c r="W147" s="33"/>
      <c r="X147" s="33"/>
      <c r="Y147" s="33"/>
      <c r="Z147" s="33"/>
    </row>
    <row r="148" ht="14.25" customHeight="1">
      <c r="A148" s="38" t="s">
        <v>118</v>
      </c>
      <c r="B148" s="38" t="s">
        <v>97</v>
      </c>
      <c r="C148" s="38" t="s">
        <v>125</v>
      </c>
      <c r="D148" s="48">
        <v>12235.0</v>
      </c>
      <c r="E148" s="33"/>
      <c r="F148" s="33"/>
      <c r="G148" s="33"/>
      <c r="H148" s="33"/>
      <c r="I148" s="33"/>
      <c r="J148" s="33"/>
      <c r="K148" s="33"/>
      <c r="L148" s="33"/>
      <c r="M148" s="33"/>
      <c r="N148" s="33"/>
      <c r="O148" s="33"/>
      <c r="P148" s="33"/>
      <c r="Q148" s="33"/>
      <c r="R148" s="33"/>
      <c r="S148" s="33"/>
      <c r="T148" s="33"/>
      <c r="U148" s="33"/>
      <c r="V148" s="33"/>
      <c r="W148" s="33"/>
      <c r="X148" s="33"/>
      <c r="Y148" s="33"/>
      <c r="Z148" s="33"/>
    </row>
    <row r="149" ht="14.25" customHeight="1">
      <c r="A149" s="38" t="s">
        <v>118</v>
      </c>
      <c r="B149" s="38" t="s">
        <v>97</v>
      </c>
      <c r="C149" s="38" t="s">
        <v>126</v>
      </c>
      <c r="D149" s="48">
        <v>874.0</v>
      </c>
      <c r="E149" s="33"/>
      <c r="F149" s="33"/>
      <c r="G149" s="33"/>
      <c r="H149" s="33"/>
      <c r="I149" s="33"/>
      <c r="J149" s="33"/>
      <c r="K149" s="33"/>
      <c r="L149" s="33"/>
      <c r="M149" s="33"/>
      <c r="N149" s="33"/>
      <c r="O149" s="33"/>
      <c r="P149" s="33"/>
      <c r="Q149" s="33"/>
      <c r="R149" s="33"/>
      <c r="S149" s="33"/>
      <c r="T149" s="33"/>
      <c r="U149" s="33"/>
      <c r="V149" s="33"/>
      <c r="W149" s="33"/>
      <c r="X149" s="33"/>
      <c r="Y149" s="33"/>
      <c r="Z149" s="33"/>
    </row>
    <row r="150" ht="14.25" customHeight="1">
      <c r="A150" s="38" t="s">
        <v>118</v>
      </c>
      <c r="B150" s="38" t="s">
        <v>97</v>
      </c>
      <c r="C150" s="38" t="s">
        <v>127</v>
      </c>
      <c r="D150" s="48">
        <v>437.0</v>
      </c>
      <c r="E150" s="33"/>
      <c r="F150" s="33"/>
      <c r="G150" s="33"/>
      <c r="H150" s="33"/>
      <c r="I150" s="33"/>
      <c r="J150" s="33"/>
      <c r="K150" s="33"/>
      <c r="L150" s="33"/>
      <c r="M150" s="33"/>
      <c r="N150" s="33"/>
      <c r="O150" s="33"/>
      <c r="P150" s="33"/>
      <c r="Q150" s="33"/>
      <c r="R150" s="33"/>
      <c r="S150" s="33"/>
      <c r="T150" s="33"/>
      <c r="U150" s="33"/>
      <c r="V150" s="33"/>
      <c r="W150" s="33"/>
      <c r="X150" s="33"/>
      <c r="Y150" s="33"/>
      <c r="Z150" s="33"/>
    </row>
    <row r="151" ht="14.25" customHeight="1">
      <c r="A151" s="38" t="s">
        <v>118</v>
      </c>
      <c r="B151" s="38" t="s">
        <v>97</v>
      </c>
      <c r="C151" s="38" t="s">
        <v>128</v>
      </c>
      <c r="D151" s="48">
        <v>437.0</v>
      </c>
      <c r="E151" s="33"/>
      <c r="F151" s="33"/>
      <c r="G151" s="33"/>
      <c r="H151" s="33"/>
      <c r="I151" s="33"/>
      <c r="J151" s="33"/>
      <c r="K151" s="33"/>
      <c r="L151" s="33"/>
      <c r="M151" s="33"/>
      <c r="N151" s="33"/>
      <c r="O151" s="33"/>
      <c r="P151" s="33"/>
      <c r="Q151" s="33"/>
      <c r="R151" s="33"/>
      <c r="S151" s="33"/>
      <c r="T151" s="33"/>
      <c r="U151" s="33"/>
      <c r="V151" s="33"/>
      <c r="W151" s="33"/>
      <c r="X151" s="33"/>
      <c r="Y151" s="33"/>
      <c r="Z151" s="33"/>
    </row>
    <row r="152" ht="14.25" customHeight="1">
      <c r="A152" s="38" t="s">
        <v>118</v>
      </c>
      <c r="B152" s="38" t="s">
        <v>97</v>
      </c>
      <c r="C152" s="38" t="s">
        <v>129</v>
      </c>
      <c r="D152" s="48">
        <v>0.0</v>
      </c>
      <c r="E152" s="33"/>
      <c r="F152" s="33"/>
      <c r="G152" s="33"/>
      <c r="H152" s="33"/>
      <c r="I152" s="33"/>
      <c r="J152" s="33"/>
      <c r="K152" s="33"/>
      <c r="L152" s="33"/>
      <c r="M152" s="33"/>
      <c r="N152" s="33"/>
      <c r="O152" s="33"/>
      <c r="P152" s="33"/>
      <c r="Q152" s="33"/>
      <c r="R152" s="33"/>
      <c r="S152" s="33"/>
      <c r="T152" s="33"/>
      <c r="U152" s="33"/>
      <c r="V152" s="33"/>
      <c r="W152" s="33"/>
      <c r="X152" s="33"/>
      <c r="Y152" s="33"/>
      <c r="Z152" s="33"/>
    </row>
    <row r="153" ht="14.25" customHeight="1">
      <c r="A153" s="38" t="s">
        <v>118</v>
      </c>
      <c r="B153" s="38" t="s">
        <v>97</v>
      </c>
      <c r="C153" s="38" t="s">
        <v>130</v>
      </c>
      <c r="D153" s="48">
        <v>1311.0</v>
      </c>
      <c r="E153" s="33"/>
      <c r="F153" s="33"/>
      <c r="G153" s="33"/>
      <c r="H153" s="33"/>
      <c r="I153" s="33"/>
      <c r="J153" s="33"/>
      <c r="K153" s="33"/>
      <c r="L153" s="33"/>
      <c r="M153" s="33"/>
      <c r="N153" s="33"/>
      <c r="O153" s="33"/>
      <c r="P153" s="33"/>
      <c r="Q153" s="33"/>
      <c r="R153" s="33"/>
      <c r="S153" s="33"/>
      <c r="T153" s="33"/>
      <c r="U153" s="33"/>
      <c r="V153" s="33"/>
      <c r="W153" s="33"/>
      <c r="X153" s="33"/>
      <c r="Y153" s="33"/>
      <c r="Z153" s="33"/>
    </row>
    <row r="154" ht="14.25" customHeight="1">
      <c r="A154" s="38" t="s">
        <v>118</v>
      </c>
      <c r="B154" s="38" t="s">
        <v>97</v>
      </c>
      <c r="C154" s="38" t="s">
        <v>131</v>
      </c>
      <c r="D154" s="48">
        <v>2185.0</v>
      </c>
      <c r="E154" s="33"/>
      <c r="F154" s="33"/>
      <c r="G154" s="33"/>
      <c r="H154" s="33"/>
      <c r="I154" s="33"/>
      <c r="J154" s="33"/>
      <c r="K154" s="33"/>
      <c r="L154" s="33"/>
      <c r="M154" s="33"/>
      <c r="N154" s="33"/>
      <c r="O154" s="33"/>
      <c r="P154" s="33"/>
      <c r="Q154" s="33"/>
      <c r="R154" s="33"/>
      <c r="S154" s="33"/>
      <c r="T154" s="33"/>
      <c r="U154" s="33"/>
      <c r="V154" s="33"/>
      <c r="W154" s="33"/>
      <c r="X154" s="33"/>
      <c r="Y154" s="33"/>
      <c r="Z154" s="33"/>
    </row>
    <row r="155" ht="14.25" customHeight="1">
      <c r="A155" s="38" t="s">
        <v>118</v>
      </c>
      <c r="B155" s="38" t="s">
        <v>101</v>
      </c>
      <c r="C155" s="38" t="s">
        <v>119</v>
      </c>
      <c r="D155" s="48">
        <v>0.0</v>
      </c>
      <c r="E155" s="33"/>
      <c r="F155" s="33"/>
      <c r="G155" s="33"/>
      <c r="H155" s="33"/>
      <c r="I155" s="33"/>
      <c r="J155" s="33"/>
      <c r="K155" s="33"/>
      <c r="L155" s="33"/>
      <c r="M155" s="33"/>
      <c r="N155" s="33"/>
      <c r="O155" s="33"/>
      <c r="P155" s="33"/>
      <c r="Q155" s="33"/>
      <c r="R155" s="33"/>
      <c r="S155" s="33"/>
      <c r="T155" s="33"/>
      <c r="U155" s="33"/>
      <c r="V155" s="33"/>
      <c r="W155" s="33"/>
      <c r="X155" s="33"/>
      <c r="Y155" s="33"/>
      <c r="Z155" s="33"/>
    </row>
    <row r="156" ht="14.25" customHeight="1">
      <c r="A156" s="38" t="s">
        <v>118</v>
      </c>
      <c r="B156" s="38" t="s">
        <v>101</v>
      </c>
      <c r="C156" s="38" t="s">
        <v>120</v>
      </c>
      <c r="D156" s="48">
        <v>0.0</v>
      </c>
      <c r="E156" s="33"/>
      <c r="F156" s="33"/>
      <c r="G156" s="33"/>
      <c r="H156" s="33"/>
      <c r="I156" s="33"/>
      <c r="J156" s="33"/>
      <c r="K156" s="33"/>
      <c r="L156" s="33"/>
      <c r="M156" s="33"/>
      <c r="N156" s="33"/>
      <c r="O156" s="33"/>
      <c r="P156" s="33"/>
      <c r="Q156" s="33"/>
      <c r="R156" s="33"/>
      <c r="S156" s="33"/>
      <c r="T156" s="33"/>
      <c r="U156" s="33"/>
      <c r="V156" s="33"/>
      <c r="W156" s="33"/>
      <c r="X156" s="33"/>
      <c r="Y156" s="33"/>
      <c r="Z156" s="33"/>
    </row>
    <row r="157" ht="14.25" customHeight="1">
      <c r="A157" s="38" t="s">
        <v>118</v>
      </c>
      <c r="B157" s="38" t="s">
        <v>101</v>
      </c>
      <c r="C157" s="38" t="s">
        <v>121</v>
      </c>
      <c r="D157" s="48">
        <v>2210.0</v>
      </c>
      <c r="E157" s="33"/>
      <c r="F157" s="33"/>
      <c r="G157" s="33"/>
      <c r="H157" s="33"/>
      <c r="I157" s="33"/>
      <c r="J157" s="33"/>
      <c r="K157" s="33"/>
      <c r="L157" s="33"/>
      <c r="M157" s="33"/>
      <c r="N157" s="33"/>
      <c r="O157" s="33"/>
      <c r="P157" s="33"/>
      <c r="Q157" s="33"/>
      <c r="R157" s="33"/>
      <c r="S157" s="33"/>
      <c r="T157" s="33"/>
      <c r="U157" s="33"/>
      <c r="V157" s="33"/>
      <c r="W157" s="33"/>
      <c r="X157" s="33"/>
      <c r="Y157" s="33"/>
      <c r="Z157" s="33"/>
    </row>
    <row r="158" ht="14.25" customHeight="1">
      <c r="A158" s="38" t="s">
        <v>118</v>
      </c>
      <c r="B158" s="38" t="s">
        <v>101</v>
      </c>
      <c r="C158" s="38" t="s">
        <v>122</v>
      </c>
      <c r="D158" s="48">
        <v>1768.0</v>
      </c>
      <c r="E158" s="33"/>
      <c r="F158" s="33"/>
      <c r="G158" s="33"/>
      <c r="H158" s="33"/>
      <c r="I158" s="33"/>
      <c r="J158" s="33"/>
      <c r="K158" s="33"/>
      <c r="L158" s="33"/>
      <c r="M158" s="33"/>
      <c r="N158" s="33"/>
      <c r="O158" s="33"/>
      <c r="P158" s="33"/>
      <c r="Q158" s="33"/>
      <c r="R158" s="33"/>
      <c r="S158" s="33"/>
      <c r="T158" s="33"/>
      <c r="U158" s="33"/>
      <c r="V158" s="33"/>
      <c r="W158" s="33"/>
      <c r="X158" s="33"/>
      <c r="Y158" s="33"/>
      <c r="Z158" s="33"/>
    </row>
    <row r="159" ht="14.25" customHeight="1">
      <c r="A159" s="38" t="s">
        <v>118</v>
      </c>
      <c r="B159" s="38" t="s">
        <v>101</v>
      </c>
      <c r="C159" s="38" t="s">
        <v>123</v>
      </c>
      <c r="D159" s="48">
        <v>1326.0</v>
      </c>
      <c r="E159" s="33"/>
      <c r="F159" s="33"/>
      <c r="G159" s="33"/>
      <c r="H159" s="33"/>
      <c r="I159" s="33"/>
      <c r="J159" s="33"/>
      <c r="K159" s="33"/>
      <c r="L159" s="33"/>
      <c r="M159" s="33"/>
      <c r="N159" s="33"/>
      <c r="O159" s="33"/>
      <c r="P159" s="33"/>
      <c r="Q159" s="33"/>
      <c r="R159" s="33"/>
      <c r="S159" s="33"/>
      <c r="T159" s="33"/>
      <c r="U159" s="33"/>
      <c r="V159" s="33"/>
      <c r="W159" s="33"/>
      <c r="X159" s="33"/>
      <c r="Y159" s="33"/>
      <c r="Z159" s="33"/>
    </row>
    <row r="160" ht="14.25" customHeight="1">
      <c r="A160" s="38" t="s">
        <v>118</v>
      </c>
      <c r="B160" s="38" t="s">
        <v>101</v>
      </c>
      <c r="C160" s="38" t="s">
        <v>124</v>
      </c>
      <c r="D160" s="48">
        <v>9723.0</v>
      </c>
      <c r="E160" s="33"/>
      <c r="F160" s="33"/>
      <c r="G160" s="33"/>
      <c r="H160" s="33"/>
      <c r="I160" s="33"/>
      <c r="J160" s="33"/>
      <c r="K160" s="33"/>
      <c r="L160" s="33"/>
      <c r="M160" s="33"/>
      <c r="N160" s="33"/>
      <c r="O160" s="33"/>
      <c r="P160" s="33"/>
      <c r="Q160" s="33"/>
      <c r="R160" s="33"/>
      <c r="S160" s="33"/>
      <c r="T160" s="33"/>
      <c r="U160" s="33"/>
      <c r="V160" s="33"/>
      <c r="W160" s="33"/>
      <c r="X160" s="33"/>
      <c r="Y160" s="33"/>
      <c r="Z160" s="33"/>
    </row>
    <row r="161" ht="14.25" customHeight="1">
      <c r="A161" s="38" t="s">
        <v>118</v>
      </c>
      <c r="B161" s="38" t="s">
        <v>101</v>
      </c>
      <c r="C161" s="38" t="s">
        <v>125</v>
      </c>
      <c r="D161" s="48">
        <v>0.0</v>
      </c>
      <c r="E161" s="33"/>
      <c r="F161" s="33"/>
      <c r="G161" s="33"/>
      <c r="H161" s="33"/>
      <c r="I161" s="33"/>
      <c r="J161" s="33"/>
      <c r="K161" s="33"/>
      <c r="L161" s="33"/>
      <c r="M161" s="33"/>
      <c r="N161" s="33"/>
      <c r="O161" s="33"/>
      <c r="P161" s="33"/>
      <c r="Q161" s="33"/>
      <c r="R161" s="33"/>
      <c r="S161" s="33"/>
      <c r="T161" s="33"/>
      <c r="U161" s="33"/>
      <c r="V161" s="33"/>
      <c r="W161" s="33"/>
      <c r="X161" s="33"/>
      <c r="Y161" s="33"/>
      <c r="Z161" s="33"/>
    </row>
    <row r="162" ht="14.25" customHeight="1">
      <c r="A162" s="38" t="s">
        <v>118</v>
      </c>
      <c r="B162" s="38" t="s">
        <v>101</v>
      </c>
      <c r="C162" s="38" t="s">
        <v>126</v>
      </c>
      <c r="D162" s="48">
        <v>884.0</v>
      </c>
      <c r="E162" s="33"/>
      <c r="F162" s="33"/>
      <c r="G162" s="33"/>
      <c r="H162" s="33"/>
      <c r="I162" s="33"/>
      <c r="J162" s="33"/>
      <c r="K162" s="33"/>
      <c r="L162" s="33"/>
      <c r="M162" s="33"/>
      <c r="N162" s="33"/>
      <c r="O162" s="33"/>
      <c r="P162" s="33"/>
      <c r="Q162" s="33"/>
      <c r="R162" s="33"/>
      <c r="S162" s="33"/>
      <c r="T162" s="33"/>
      <c r="U162" s="33"/>
      <c r="V162" s="33"/>
      <c r="W162" s="33"/>
      <c r="X162" s="33"/>
      <c r="Y162" s="33"/>
      <c r="Z162" s="33"/>
    </row>
    <row r="163" ht="14.25" customHeight="1">
      <c r="A163" s="38" t="s">
        <v>118</v>
      </c>
      <c r="B163" s="38" t="s">
        <v>101</v>
      </c>
      <c r="C163" s="38" t="s">
        <v>127</v>
      </c>
      <c r="D163" s="48">
        <v>11049.0</v>
      </c>
      <c r="E163" s="33"/>
      <c r="F163" s="33"/>
      <c r="G163" s="33"/>
      <c r="H163" s="33"/>
      <c r="I163" s="33"/>
      <c r="J163" s="33"/>
      <c r="K163" s="33"/>
      <c r="L163" s="33"/>
      <c r="M163" s="33"/>
      <c r="N163" s="33"/>
      <c r="O163" s="33"/>
      <c r="P163" s="33"/>
      <c r="Q163" s="33"/>
      <c r="R163" s="33"/>
      <c r="S163" s="33"/>
      <c r="T163" s="33"/>
      <c r="U163" s="33"/>
      <c r="V163" s="33"/>
      <c r="W163" s="33"/>
      <c r="X163" s="33"/>
      <c r="Y163" s="33"/>
      <c r="Z163" s="33"/>
    </row>
    <row r="164" ht="14.25" customHeight="1">
      <c r="A164" s="38" t="s">
        <v>118</v>
      </c>
      <c r="B164" s="38" t="s">
        <v>101</v>
      </c>
      <c r="C164" s="38" t="s">
        <v>128</v>
      </c>
      <c r="D164" s="48">
        <v>884.0</v>
      </c>
      <c r="E164" s="33"/>
      <c r="F164" s="33"/>
      <c r="G164" s="33"/>
      <c r="H164" s="33"/>
      <c r="I164" s="33"/>
      <c r="J164" s="33"/>
      <c r="K164" s="33"/>
      <c r="L164" s="33"/>
      <c r="M164" s="33"/>
      <c r="N164" s="33"/>
      <c r="O164" s="33"/>
      <c r="P164" s="33"/>
      <c r="Q164" s="33"/>
      <c r="R164" s="33"/>
      <c r="S164" s="33"/>
      <c r="T164" s="33"/>
      <c r="U164" s="33"/>
      <c r="V164" s="33"/>
      <c r="W164" s="33"/>
      <c r="X164" s="33"/>
      <c r="Y164" s="33"/>
      <c r="Z164" s="33"/>
    </row>
    <row r="165" ht="14.25" customHeight="1">
      <c r="A165" s="38" t="s">
        <v>118</v>
      </c>
      <c r="B165" s="38" t="s">
        <v>101</v>
      </c>
      <c r="C165" s="38" t="s">
        <v>129</v>
      </c>
      <c r="D165" s="48">
        <v>13259.0</v>
      </c>
      <c r="E165" s="33"/>
      <c r="F165" s="33"/>
      <c r="G165" s="33"/>
      <c r="H165" s="33"/>
      <c r="I165" s="33"/>
      <c r="J165" s="33"/>
      <c r="K165" s="33"/>
      <c r="L165" s="33"/>
      <c r="M165" s="33"/>
      <c r="N165" s="33"/>
      <c r="O165" s="33"/>
      <c r="P165" s="33"/>
      <c r="Q165" s="33"/>
      <c r="R165" s="33"/>
      <c r="S165" s="33"/>
      <c r="T165" s="33"/>
      <c r="U165" s="33"/>
      <c r="V165" s="33"/>
      <c r="W165" s="33"/>
      <c r="X165" s="33"/>
      <c r="Y165" s="33"/>
      <c r="Z165" s="33"/>
    </row>
    <row r="166" ht="14.25" customHeight="1">
      <c r="A166" s="38" t="s">
        <v>118</v>
      </c>
      <c r="B166" s="38" t="s">
        <v>101</v>
      </c>
      <c r="C166" s="38" t="s">
        <v>130</v>
      </c>
      <c r="D166" s="48">
        <v>884.0</v>
      </c>
      <c r="E166" s="33"/>
      <c r="F166" s="33"/>
      <c r="G166" s="33"/>
      <c r="H166" s="33"/>
      <c r="I166" s="33"/>
      <c r="J166" s="33"/>
      <c r="K166" s="33"/>
      <c r="L166" s="33"/>
      <c r="M166" s="33"/>
      <c r="N166" s="33"/>
      <c r="O166" s="33"/>
      <c r="P166" s="33"/>
      <c r="Q166" s="33"/>
      <c r="R166" s="33"/>
      <c r="S166" s="33"/>
      <c r="T166" s="33"/>
      <c r="U166" s="33"/>
      <c r="V166" s="33"/>
      <c r="W166" s="33"/>
      <c r="X166" s="33"/>
      <c r="Y166" s="33"/>
      <c r="Z166" s="33"/>
    </row>
    <row r="167" ht="14.25" customHeight="1">
      <c r="A167" s="38" t="s">
        <v>118</v>
      </c>
      <c r="B167" s="38" t="s">
        <v>101</v>
      </c>
      <c r="C167" s="38" t="s">
        <v>131</v>
      </c>
      <c r="D167" s="48">
        <v>2210.0</v>
      </c>
      <c r="E167" s="33"/>
      <c r="F167" s="33"/>
      <c r="G167" s="33"/>
      <c r="H167" s="33"/>
      <c r="I167" s="33"/>
      <c r="J167" s="33"/>
      <c r="K167" s="33"/>
      <c r="L167" s="33"/>
      <c r="M167" s="33"/>
      <c r="N167" s="33"/>
      <c r="O167" s="33"/>
      <c r="P167" s="33"/>
      <c r="Q167" s="33"/>
      <c r="R167" s="33"/>
      <c r="S167" s="33"/>
      <c r="T167" s="33"/>
      <c r="U167" s="33"/>
      <c r="V167" s="33"/>
      <c r="W167" s="33"/>
      <c r="X167" s="33"/>
      <c r="Y167" s="33"/>
      <c r="Z167" s="33"/>
    </row>
    <row r="168" ht="14.25" customHeight="1">
      <c r="A168" s="38" t="s">
        <v>118</v>
      </c>
      <c r="B168" s="38" t="s">
        <v>102</v>
      </c>
      <c r="C168" s="38" t="s">
        <v>119</v>
      </c>
      <c r="D168" s="48">
        <v>0.0</v>
      </c>
      <c r="E168" s="33"/>
      <c r="F168" s="33"/>
      <c r="G168" s="33"/>
      <c r="H168" s="33"/>
      <c r="I168" s="33"/>
      <c r="J168" s="33"/>
      <c r="K168" s="33"/>
      <c r="L168" s="33"/>
      <c r="M168" s="33"/>
      <c r="N168" s="33"/>
      <c r="O168" s="33"/>
      <c r="P168" s="33"/>
      <c r="Q168" s="33"/>
      <c r="R168" s="33"/>
      <c r="S168" s="33"/>
      <c r="T168" s="33"/>
      <c r="U168" s="33"/>
      <c r="V168" s="33"/>
      <c r="W168" s="33"/>
      <c r="X168" s="33"/>
      <c r="Y168" s="33"/>
      <c r="Z168" s="33"/>
    </row>
    <row r="169" ht="14.25" customHeight="1">
      <c r="A169" s="38" t="s">
        <v>118</v>
      </c>
      <c r="B169" s="38" t="s">
        <v>102</v>
      </c>
      <c r="C169" s="38" t="s">
        <v>120</v>
      </c>
      <c r="D169" s="48">
        <v>0.0</v>
      </c>
      <c r="E169" s="33"/>
      <c r="F169" s="33"/>
      <c r="G169" s="33"/>
      <c r="H169" s="33"/>
      <c r="I169" s="33"/>
      <c r="J169" s="33"/>
      <c r="K169" s="33"/>
      <c r="L169" s="33"/>
      <c r="M169" s="33"/>
      <c r="N169" s="33"/>
      <c r="O169" s="33"/>
      <c r="P169" s="33"/>
      <c r="Q169" s="33"/>
      <c r="R169" s="33"/>
      <c r="S169" s="33"/>
      <c r="T169" s="33"/>
      <c r="U169" s="33"/>
      <c r="V169" s="33"/>
      <c r="W169" s="33"/>
      <c r="X169" s="33"/>
      <c r="Y169" s="33"/>
      <c r="Z169" s="33"/>
    </row>
    <row r="170" ht="14.25" customHeight="1">
      <c r="A170" s="38" t="s">
        <v>118</v>
      </c>
      <c r="B170" s="38" t="s">
        <v>102</v>
      </c>
      <c r="C170" s="38" t="s">
        <v>121</v>
      </c>
      <c r="D170" s="48">
        <v>0.0</v>
      </c>
      <c r="E170" s="33"/>
      <c r="F170" s="33"/>
      <c r="G170" s="33"/>
      <c r="H170" s="33"/>
      <c r="I170" s="33"/>
      <c r="J170" s="33"/>
      <c r="K170" s="33"/>
      <c r="L170" s="33"/>
      <c r="M170" s="33"/>
      <c r="N170" s="33"/>
      <c r="O170" s="33"/>
      <c r="P170" s="33"/>
      <c r="Q170" s="33"/>
      <c r="R170" s="33"/>
      <c r="S170" s="33"/>
      <c r="T170" s="33"/>
      <c r="U170" s="33"/>
      <c r="V170" s="33"/>
      <c r="W170" s="33"/>
      <c r="X170" s="33"/>
      <c r="Y170" s="33"/>
      <c r="Z170" s="33"/>
    </row>
    <row r="171" ht="14.25" customHeight="1">
      <c r="A171" s="38" t="s">
        <v>118</v>
      </c>
      <c r="B171" s="38" t="s">
        <v>102</v>
      </c>
      <c r="C171" s="38" t="s">
        <v>122</v>
      </c>
      <c r="D171" s="48">
        <v>4598.0</v>
      </c>
      <c r="E171" s="33"/>
      <c r="F171" s="33"/>
      <c r="G171" s="33"/>
      <c r="H171" s="33"/>
      <c r="I171" s="33"/>
      <c r="J171" s="33"/>
      <c r="K171" s="33"/>
      <c r="L171" s="33"/>
      <c r="M171" s="33"/>
      <c r="N171" s="33"/>
      <c r="O171" s="33"/>
      <c r="P171" s="33"/>
      <c r="Q171" s="33"/>
      <c r="R171" s="33"/>
      <c r="S171" s="33"/>
      <c r="T171" s="33"/>
      <c r="U171" s="33"/>
      <c r="V171" s="33"/>
      <c r="W171" s="33"/>
      <c r="X171" s="33"/>
      <c r="Y171" s="33"/>
      <c r="Z171" s="33"/>
    </row>
    <row r="172" ht="14.25" customHeight="1">
      <c r="A172" s="38" t="s">
        <v>118</v>
      </c>
      <c r="B172" s="38" t="s">
        <v>102</v>
      </c>
      <c r="C172" s="38" t="s">
        <v>123</v>
      </c>
      <c r="D172" s="48">
        <v>6687.0</v>
      </c>
      <c r="E172" s="33"/>
      <c r="F172" s="33"/>
      <c r="G172" s="33"/>
      <c r="H172" s="33"/>
      <c r="I172" s="33"/>
      <c r="J172" s="33"/>
      <c r="K172" s="33"/>
      <c r="L172" s="33"/>
      <c r="M172" s="33"/>
      <c r="N172" s="33"/>
      <c r="O172" s="33"/>
      <c r="P172" s="33"/>
      <c r="Q172" s="33"/>
      <c r="R172" s="33"/>
      <c r="S172" s="33"/>
      <c r="T172" s="33"/>
      <c r="U172" s="33"/>
      <c r="V172" s="33"/>
      <c r="W172" s="33"/>
      <c r="X172" s="33"/>
      <c r="Y172" s="33"/>
      <c r="Z172" s="33"/>
    </row>
    <row r="173" ht="14.25" customHeight="1">
      <c r="A173" s="38" t="s">
        <v>118</v>
      </c>
      <c r="B173" s="38" t="s">
        <v>102</v>
      </c>
      <c r="C173" s="38" t="s">
        <v>124</v>
      </c>
      <c r="D173" s="48">
        <v>0.0</v>
      </c>
      <c r="E173" s="33"/>
      <c r="F173" s="33"/>
      <c r="G173" s="33"/>
      <c r="H173" s="33"/>
      <c r="I173" s="33"/>
      <c r="J173" s="33"/>
      <c r="K173" s="33"/>
      <c r="L173" s="33"/>
      <c r="M173" s="33"/>
      <c r="N173" s="33"/>
      <c r="O173" s="33"/>
      <c r="P173" s="33"/>
      <c r="Q173" s="33"/>
      <c r="R173" s="33"/>
      <c r="S173" s="33"/>
      <c r="T173" s="33"/>
      <c r="U173" s="33"/>
      <c r="V173" s="33"/>
      <c r="W173" s="33"/>
      <c r="X173" s="33"/>
      <c r="Y173" s="33"/>
      <c r="Z173" s="33"/>
    </row>
    <row r="174" ht="14.25" customHeight="1">
      <c r="A174" s="38" t="s">
        <v>118</v>
      </c>
      <c r="B174" s="38" t="s">
        <v>102</v>
      </c>
      <c r="C174" s="38" t="s">
        <v>125</v>
      </c>
      <c r="D174" s="48">
        <v>2508.0</v>
      </c>
      <c r="E174" s="33"/>
      <c r="F174" s="33"/>
      <c r="G174" s="33"/>
      <c r="H174" s="33"/>
      <c r="I174" s="33"/>
      <c r="J174" s="33"/>
      <c r="K174" s="33"/>
      <c r="L174" s="33"/>
      <c r="M174" s="33"/>
      <c r="N174" s="33"/>
      <c r="O174" s="33"/>
      <c r="P174" s="33"/>
      <c r="Q174" s="33"/>
      <c r="R174" s="33"/>
      <c r="S174" s="33"/>
      <c r="T174" s="33"/>
      <c r="U174" s="33"/>
      <c r="V174" s="33"/>
      <c r="W174" s="33"/>
      <c r="X174" s="33"/>
      <c r="Y174" s="33"/>
      <c r="Z174" s="33"/>
    </row>
    <row r="175" ht="14.25" customHeight="1">
      <c r="A175" s="38" t="s">
        <v>118</v>
      </c>
      <c r="B175" s="38" t="s">
        <v>102</v>
      </c>
      <c r="C175" s="38" t="s">
        <v>131</v>
      </c>
      <c r="D175" s="48">
        <v>7105.0</v>
      </c>
      <c r="E175" s="33"/>
      <c r="F175" s="33"/>
      <c r="G175" s="33"/>
      <c r="H175" s="33"/>
      <c r="I175" s="33"/>
      <c r="J175" s="33"/>
      <c r="K175" s="33"/>
      <c r="L175" s="33"/>
      <c r="M175" s="33"/>
      <c r="N175" s="33"/>
      <c r="O175" s="33"/>
      <c r="P175" s="33"/>
      <c r="Q175" s="33"/>
      <c r="R175" s="33"/>
      <c r="S175" s="33"/>
      <c r="T175" s="33"/>
      <c r="U175" s="33"/>
      <c r="V175" s="33"/>
      <c r="W175" s="33"/>
      <c r="X175" s="33"/>
      <c r="Y175" s="33"/>
      <c r="Z175" s="33"/>
    </row>
    <row r="176" ht="14.25" customHeight="1">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row>
    <row r="177" ht="14.25" customHeight="1">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row>
    <row r="178" ht="14.25" customHeight="1">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row>
    <row r="179" ht="14.25" customHeight="1">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row>
    <row r="180" ht="14.25" customHeight="1">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row>
    <row r="181" ht="14.25" customHeight="1">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row>
    <row r="182" ht="14.25" customHeight="1">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row>
    <row r="183" ht="14.25" customHeight="1">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row>
    <row r="184" ht="14.25" customHeight="1">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row>
    <row r="185" ht="14.25" customHeight="1">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row>
    <row r="186" ht="14.25" customHeight="1">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row>
    <row r="187" ht="14.25" customHeight="1">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row>
    <row r="188" ht="14.25" customHeight="1">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row>
    <row r="189" ht="14.25" customHeight="1">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row>
    <row r="190" ht="14.25" customHeight="1">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row>
    <row r="191" ht="14.25" customHeight="1">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row>
    <row r="192" ht="14.25" customHeight="1">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row>
    <row r="193" ht="14.25" customHeight="1">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row>
    <row r="194" ht="14.25" customHeight="1">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row>
    <row r="195" ht="14.25" customHeight="1">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row>
    <row r="196" ht="14.25" customHeight="1">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row>
    <row r="197" ht="14.25" customHeight="1">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row>
    <row r="198" ht="14.25" customHeight="1">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row>
    <row r="199" ht="14.25" customHeight="1">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row>
    <row r="200" ht="14.25" customHeight="1">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row>
    <row r="201" ht="14.25" customHeight="1">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row>
    <row r="202" ht="14.25" customHeight="1">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row>
    <row r="203" ht="14.25" customHeight="1">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row>
    <row r="204" ht="14.25" customHeight="1">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row>
    <row r="205" ht="14.25" customHeight="1">
      <c r="A205" s="33"/>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row>
    <row r="206" ht="14.25" customHeight="1">
      <c r="A206" s="33"/>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row>
    <row r="207" ht="14.25" customHeight="1">
      <c r="A207" s="33"/>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row>
    <row r="208" ht="14.25" customHeight="1">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row>
    <row r="209" ht="14.25" customHeight="1">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row>
    <row r="210" ht="14.25" customHeight="1">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row>
    <row r="211" ht="14.25" customHeight="1">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row>
    <row r="212" ht="14.25" customHeight="1">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row>
    <row r="213" ht="14.25" customHeight="1">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row>
    <row r="214" ht="14.25" customHeight="1">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row>
    <row r="215" ht="14.25" customHeight="1">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row>
    <row r="216" ht="14.25" customHeight="1">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row>
    <row r="217" ht="14.25" customHeight="1">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row>
    <row r="218" ht="14.25" customHeight="1">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row>
    <row r="219" ht="14.25" customHeight="1">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row>
    <row r="220" ht="14.25" customHeight="1">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row>
    <row r="221" ht="14.25" customHeight="1">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row>
    <row r="222" ht="14.25" customHeight="1">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row>
    <row r="223" ht="14.25" customHeight="1">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row>
    <row r="224" ht="14.25" customHeight="1">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row>
    <row r="225" ht="14.25" customHeight="1">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row>
    <row r="226" ht="14.25" customHeight="1">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row>
    <row r="227" ht="14.25" customHeight="1">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row>
    <row r="228" ht="14.25" customHeight="1">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row>
    <row r="229" ht="14.25" customHeight="1">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row>
    <row r="230" ht="14.25" customHeight="1">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row>
    <row r="231" ht="14.25" customHeight="1">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row>
    <row r="232" ht="14.25" customHeight="1">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row>
    <row r="233" ht="14.25" customHeight="1">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row>
    <row r="234" ht="14.25" customHeight="1">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row>
    <row r="235" ht="14.25" customHeight="1">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row>
    <row r="236" ht="14.25" customHeight="1">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row>
    <row r="237" ht="14.25" customHeight="1">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row>
    <row r="238" ht="14.25" customHeight="1">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row>
    <row r="239" ht="14.25" customHeight="1">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row>
    <row r="240" ht="14.25" customHeight="1">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row>
    <row r="241" ht="14.25" customHeight="1">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row>
    <row r="242" ht="14.25" customHeight="1">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row>
    <row r="243" ht="14.25" customHeight="1">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row>
    <row r="244" ht="14.25" customHeight="1">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row>
    <row r="245" ht="14.25" customHeight="1">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row>
    <row r="246" ht="14.25" customHeight="1">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row>
    <row r="247" ht="14.25" customHeight="1">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row>
    <row r="248" ht="14.25" customHeight="1">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row>
    <row r="249" ht="14.25" customHeight="1">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row>
    <row r="250" ht="14.25" customHeight="1">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row>
    <row r="251" ht="14.25" customHeight="1">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row>
    <row r="252" ht="14.25" customHeight="1">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row>
    <row r="253" ht="14.25" customHeight="1">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row>
    <row r="254" ht="14.25" customHeight="1">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row>
    <row r="255" ht="14.25" customHeight="1">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row>
    <row r="256" ht="14.25" customHeight="1">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row>
    <row r="257" ht="14.25" customHeight="1">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row>
    <row r="258" ht="14.25" customHeight="1">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row>
    <row r="259" ht="14.25" customHeight="1">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row>
    <row r="260" ht="14.25" customHeight="1">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row>
    <row r="261" ht="14.25" customHeight="1">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row>
    <row r="262" ht="14.25" customHeight="1">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row>
    <row r="263" ht="14.25" customHeight="1">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row>
    <row r="264" ht="14.25" customHeight="1">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row>
    <row r="265" ht="14.25" customHeight="1">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row>
    <row r="266" ht="14.25" customHeight="1">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row>
    <row r="267" ht="14.25" customHeight="1">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row>
    <row r="268" ht="14.25" customHeight="1">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row>
    <row r="269" ht="14.25" customHeight="1">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row>
    <row r="270" ht="14.25" customHeight="1">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row>
    <row r="271" ht="14.25" customHeight="1">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row>
    <row r="272" ht="14.25" customHeight="1">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row>
    <row r="273" ht="14.25" customHeight="1">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row>
    <row r="274" ht="14.25" customHeight="1">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row>
    <row r="275" ht="14.25" customHeight="1">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row>
    <row r="276" ht="14.25" customHeight="1">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row>
    <row r="277" ht="14.25" customHeight="1">
      <c r="A277" s="33"/>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row>
    <row r="278" ht="14.25" customHeight="1">
      <c r="A278" s="33"/>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row>
    <row r="279" ht="14.25" customHeight="1">
      <c r="A279" s="33"/>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row>
    <row r="280" ht="14.25" customHeight="1">
      <c r="A280" s="33"/>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row>
    <row r="281" ht="14.25" customHeight="1">
      <c r="A281" s="33"/>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row>
    <row r="282" ht="14.25" customHeight="1">
      <c r="A282" s="33"/>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row>
    <row r="283" ht="14.25" customHeight="1">
      <c r="A283" s="33"/>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row>
    <row r="284" ht="14.25" customHeight="1">
      <c r="A284" s="33"/>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row>
    <row r="285" ht="14.25" customHeight="1">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row>
    <row r="286" ht="14.25" customHeight="1">
      <c r="A286" s="33"/>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row>
    <row r="287" ht="14.25" customHeight="1">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row>
    <row r="288" ht="14.25" customHeight="1">
      <c r="A288" s="33"/>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row>
    <row r="289" ht="14.25" customHeight="1">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row>
    <row r="290" ht="14.25" customHeight="1">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row>
    <row r="291" ht="14.25" customHeight="1">
      <c r="A291" s="33"/>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row>
    <row r="292" ht="14.25" customHeight="1">
      <c r="A292" s="33"/>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row>
    <row r="293" ht="14.25" customHeight="1">
      <c r="A293" s="33"/>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row>
    <row r="294" ht="14.25" customHeight="1">
      <c r="A294" s="33"/>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row>
    <row r="295" ht="14.25" customHeight="1">
      <c r="A295" s="33"/>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row>
    <row r="296" ht="14.25" customHeight="1">
      <c r="A296" s="33"/>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row>
    <row r="297" ht="14.25" customHeight="1">
      <c r="A297" s="33"/>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row>
    <row r="298" ht="14.25" customHeight="1">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row>
    <row r="299" ht="14.25" customHeight="1">
      <c r="A299" s="33"/>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row>
    <row r="300" ht="14.25" customHeight="1">
      <c r="A300" s="33"/>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row>
    <row r="301" ht="14.25" customHeight="1">
      <c r="A301" s="33"/>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row>
    <row r="302" ht="14.25" customHeight="1">
      <c r="A302" s="33"/>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row>
    <row r="303" ht="14.25" customHeight="1">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row>
    <row r="304" ht="14.25" customHeight="1">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row>
    <row r="305" ht="14.25" customHeight="1">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row>
    <row r="306" ht="14.25" customHeight="1">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row>
    <row r="307" ht="14.25" customHeight="1">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row>
    <row r="308" ht="14.25" customHeight="1">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row>
    <row r="309" ht="14.25" customHeight="1">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row>
    <row r="310" ht="14.25" customHeight="1">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row>
    <row r="311" ht="14.25" customHeight="1">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row>
    <row r="312" ht="14.25" customHeight="1">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row>
    <row r="313" ht="14.25" customHeight="1">
      <c r="A313" s="33"/>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row>
    <row r="314" ht="14.25" customHeight="1">
      <c r="A314" s="33"/>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row>
    <row r="315" ht="14.25" customHeight="1">
      <c r="A315" s="33"/>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row>
    <row r="316" ht="14.25" customHeight="1">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row>
    <row r="317" ht="14.25" customHeight="1">
      <c r="A317" s="33"/>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row>
    <row r="318" ht="14.25" customHeight="1">
      <c r="A318" s="33"/>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row>
    <row r="319" ht="14.25" customHeight="1">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row>
    <row r="320" ht="14.25" customHeight="1">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row>
    <row r="321" ht="14.25" customHeight="1">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row>
    <row r="322" ht="14.25" customHeight="1">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row>
    <row r="323" ht="14.25" customHeight="1">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row>
    <row r="324" ht="14.25" customHeight="1">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row>
    <row r="325" ht="14.25" customHeight="1">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row>
    <row r="326" ht="14.25" customHeight="1">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row>
    <row r="327" ht="14.25" customHeight="1">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row>
    <row r="328" ht="14.25" customHeight="1">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row>
    <row r="329" ht="14.25" customHeight="1">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row>
    <row r="330" ht="14.25" customHeight="1">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row>
    <row r="331" ht="14.25" customHeight="1">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row>
    <row r="332" ht="14.25" customHeight="1">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row>
    <row r="333" ht="14.25" customHeight="1">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row>
    <row r="334" ht="14.25" customHeight="1">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row>
    <row r="335" ht="14.25" customHeight="1">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row>
    <row r="336" ht="14.25" customHeight="1">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row>
    <row r="337" ht="14.25" customHeight="1">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row>
    <row r="338" ht="14.25" customHeight="1">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row>
    <row r="339" ht="14.25" customHeight="1">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row>
    <row r="340" ht="14.25" customHeight="1">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row>
    <row r="341" ht="14.25" customHeight="1">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row>
    <row r="342" ht="14.25" customHeight="1">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row>
    <row r="343" ht="14.25" customHeight="1">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row>
    <row r="344" ht="14.25" customHeight="1">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row>
    <row r="345" ht="14.25" customHeight="1">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row>
    <row r="346" ht="14.25" customHeight="1">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row>
    <row r="347" ht="14.25" customHeight="1">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row>
    <row r="348" ht="14.25" customHeight="1">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row>
    <row r="349" ht="14.25" customHeight="1">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row>
    <row r="350" ht="14.25" customHeight="1">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row>
    <row r="351" ht="14.25" customHeight="1">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row>
    <row r="352" ht="14.25" customHeight="1">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row>
    <row r="353" ht="14.25" customHeight="1">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row>
    <row r="354" ht="14.25" customHeight="1">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row>
    <row r="355" ht="14.25" customHeight="1">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row>
    <row r="356" ht="14.25" customHeight="1">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row>
    <row r="357" ht="14.25" customHeight="1">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row>
    <row r="358" ht="14.25" customHeight="1">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row>
    <row r="359" ht="14.25" customHeight="1">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row>
    <row r="360" ht="14.25" customHeight="1">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row>
    <row r="361" ht="14.25" customHeight="1">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row>
    <row r="362" ht="14.25" customHeight="1">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row>
    <row r="363" ht="14.25" customHeight="1">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row>
    <row r="364" ht="14.25" customHeight="1">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row>
    <row r="365" ht="14.25" customHeight="1">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row>
    <row r="366" ht="14.25" customHeight="1">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row>
    <row r="367" ht="14.25" customHeight="1">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row>
    <row r="368" ht="14.25" customHeight="1">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row>
    <row r="369" ht="14.25" customHeight="1">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row>
    <row r="370" ht="14.25" customHeight="1">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row>
    <row r="371" ht="14.25" customHeight="1">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row>
    <row r="372" ht="14.25" customHeight="1">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row>
    <row r="373" ht="14.25" customHeight="1">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row>
    <row r="374" ht="14.25" customHeight="1">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row>
    <row r="375" ht="14.25" customHeight="1">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row>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
    <mergeCell ref="A1:G1"/>
    <mergeCell ref="A3:G3"/>
    <mergeCell ref="A4:G4"/>
    <mergeCell ref="A8:G8"/>
  </mergeCells>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0"/>
    <col customWidth="1" min="2" max="2" width="11.14"/>
    <col customWidth="1" min="3" max="3" width="9.14"/>
    <col customWidth="1" min="4" max="4" width="8.71"/>
    <col customWidth="1" min="5" max="5" width="15.57"/>
    <col customWidth="1" min="6" max="26" width="8.71"/>
  </cols>
  <sheetData>
    <row r="1" ht="19.5" customHeight="1">
      <c r="A1" s="21"/>
      <c r="B1" s="22" t="s">
        <v>39</v>
      </c>
      <c r="C1" s="22" t="s">
        <v>40</v>
      </c>
    </row>
    <row r="2" ht="19.5" customHeight="1">
      <c r="A2" s="19" t="s">
        <v>41</v>
      </c>
      <c r="B2" s="23">
        <v>762325.0</v>
      </c>
      <c r="C2" s="24" t="s">
        <v>36</v>
      </c>
    </row>
    <row r="3" ht="19.5" customHeight="1">
      <c r="A3" s="19" t="s">
        <v>42</v>
      </c>
      <c r="B3" s="23">
        <v>245823.0</v>
      </c>
      <c r="C3" s="24" t="s">
        <v>38</v>
      </c>
    </row>
    <row r="4" ht="19.5" customHeight="1">
      <c r="A4" s="19" t="s">
        <v>43</v>
      </c>
      <c r="B4" s="23">
        <v>712368.0</v>
      </c>
      <c r="C4" s="24" t="s">
        <v>37</v>
      </c>
    </row>
    <row r="5" ht="19.5" customHeight="1">
      <c r="A5" s="19" t="s">
        <v>44</v>
      </c>
      <c r="B5" s="23">
        <v>945447.0</v>
      </c>
      <c r="C5" s="24" t="s">
        <v>36</v>
      </c>
      <c r="E5" s="6" t="s">
        <v>132</v>
      </c>
      <c r="F5" s="49"/>
    </row>
    <row r="6" ht="19.5" customHeight="1">
      <c r="A6" s="19" t="s">
        <v>45</v>
      </c>
      <c r="B6" s="23">
        <v>704746.0</v>
      </c>
      <c r="C6" s="24" t="s">
        <v>38</v>
      </c>
      <c r="E6" s="6" t="s">
        <v>133</v>
      </c>
      <c r="F6" s="49"/>
    </row>
    <row r="7" ht="19.5" customHeight="1">
      <c r="A7" s="19" t="s">
        <v>46</v>
      </c>
      <c r="B7" s="23">
        <v>178916.0</v>
      </c>
      <c r="C7" s="24" t="s">
        <v>37</v>
      </c>
      <c r="E7" s="6" t="s">
        <v>134</v>
      </c>
      <c r="F7" s="49"/>
    </row>
    <row r="8" ht="19.5" customHeight="1">
      <c r="A8" s="19" t="s">
        <v>47</v>
      </c>
      <c r="B8" s="23">
        <v>533664.0</v>
      </c>
      <c r="C8" s="24" t="s">
        <v>38</v>
      </c>
    </row>
    <row r="9" ht="19.5" customHeight="1">
      <c r="A9" s="19" t="s">
        <v>48</v>
      </c>
      <c r="B9" s="23">
        <v>402614.0</v>
      </c>
      <c r="C9" s="24" t="s">
        <v>37</v>
      </c>
    </row>
    <row r="10" ht="19.5" customHeight="1">
      <c r="A10" s="19" t="s">
        <v>49</v>
      </c>
      <c r="B10" s="23">
        <v>460552.0</v>
      </c>
      <c r="C10" s="24" t="s">
        <v>36</v>
      </c>
    </row>
    <row r="11" ht="19.5" customHeight="1">
      <c r="A11" s="19" t="s">
        <v>50</v>
      </c>
      <c r="B11" s="23">
        <v>886805.0</v>
      </c>
      <c r="C11" s="24" t="s">
        <v>38</v>
      </c>
    </row>
    <row r="12" ht="19.5" customHeight="1">
      <c r="A12" s="19" t="s">
        <v>51</v>
      </c>
      <c r="B12" s="23">
        <v>336083.0</v>
      </c>
      <c r="C12" s="24" t="s">
        <v>37</v>
      </c>
    </row>
    <row r="13" ht="19.5" customHeight="1">
      <c r="A13" s="19" t="s">
        <v>52</v>
      </c>
      <c r="B13" s="23">
        <v>737951.0</v>
      </c>
      <c r="C13" s="24" t="s">
        <v>36</v>
      </c>
    </row>
    <row r="14" ht="19.5" customHeight="1">
      <c r="A14" s="19" t="s">
        <v>53</v>
      </c>
      <c r="B14" s="23">
        <v>457519.0</v>
      </c>
      <c r="C14" s="24" t="s">
        <v>38</v>
      </c>
    </row>
    <row r="15" ht="19.5" customHeight="1">
      <c r="A15" s="19" t="s">
        <v>54</v>
      </c>
      <c r="B15" s="23">
        <v>196773.0</v>
      </c>
      <c r="C15" s="24" t="s">
        <v>37</v>
      </c>
    </row>
    <row r="16" ht="19.5" customHeight="1">
      <c r="A16" s="19" t="s">
        <v>55</v>
      </c>
      <c r="B16" s="23">
        <v>349841.0</v>
      </c>
      <c r="C16" s="24" t="s">
        <v>38</v>
      </c>
    </row>
    <row r="17" ht="19.5" customHeight="1">
      <c r="A17" s="19" t="s">
        <v>56</v>
      </c>
      <c r="B17" s="23">
        <v>300433.0</v>
      </c>
      <c r="C17" s="24" t="s">
        <v>36</v>
      </c>
    </row>
    <row r="18" ht="19.5" customHeight="1">
      <c r="A18" s="19" t="s">
        <v>57</v>
      </c>
      <c r="B18" s="23">
        <v>850686.0</v>
      </c>
      <c r="C18" s="24" t="s">
        <v>38</v>
      </c>
    </row>
    <row r="19" ht="19.5" customHeight="1">
      <c r="A19" s="19" t="s">
        <v>58</v>
      </c>
      <c r="B19" s="23">
        <v>752929.0</v>
      </c>
      <c r="C19" s="24" t="s">
        <v>37</v>
      </c>
    </row>
    <row r="20" ht="19.5" customHeight="1">
      <c r="A20" s="19" t="s">
        <v>59</v>
      </c>
      <c r="B20" s="23">
        <v>943214.0</v>
      </c>
      <c r="C20" s="24" t="s">
        <v>38</v>
      </c>
    </row>
    <row r="21" ht="19.5" customHeight="1">
      <c r="A21" s="19" t="s">
        <v>60</v>
      </c>
      <c r="B21" s="23">
        <v>156742.0</v>
      </c>
      <c r="C21" s="24" t="s">
        <v>36</v>
      </c>
    </row>
    <row r="22" ht="19.5" customHeight="1">
      <c r="A22" s="19" t="s">
        <v>61</v>
      </c>
      <c r="B22" s="23">
        <v>604044.0</v>
      </c>
      <c r="C22" s="24" t="s">
        <v>38</v>
      </c>
    </row>
    <row r="23" ht="19.5" customHeight="1">
      <c r="A23" s="19" t="s">
        <v>62</v>
      </c>
      <c r="B23" s="23">
        <v>398462.0</v>
      </c>
      <c r="C23" s="24" t="s">
        <v>37</v>
      </c>
    </row>
    <row r="24" ht="19.5" customHeight="1">
      <c r="A24" s="19" t="s">
        <v>63</v>
      </c>
      <c r="B24" s="23">
        <v>139455.0</v>
      </c>
      <c r="C24" s="24" t="s">
        <v>36</v>
      </c>
    </row>
    <row r="25" ht="19.5" customHeight="1">
      <c r="A25" s="19" t="s">
        <v>64</v>
      </c>
      <c r="B25" s="23">
        <v>663698.0</v>
      </c>
      <c r="C25" s="24" t="s">
        <v>38</v>
      </c>
    </row>
    <row r="26" ht="19.5" customHeight="1">
      <c r="A26" s="19" t="s">
        <v>65</v>
      </c>
      <c r="B26" s="23">
        <v>416136.0</v>
      </c>
      <c r="C26" s="24" t="s">
        <v>37</v>
      </c>
    </row>
    <row r="27" ht="19.5" customHeight="1">
      <c r="A27" s="19" t="s">
        <v>66</v>
      </c>
      <c r="B27" s="23">
        <v>787868.0</v>
      </c>
      <c r="C27" s="24" t="s">
        <v>38</v>
      </c>
    </row>
    <row r="28" ht="19.5" customHeight="1">
      <c r="A28" s="19" t="s">
        <v>67</v>
      </c>
      <c r="B28" s="23">
        <v>299230.0</v>
      </c>
      <c r="C28" s="24" t="s">
        <v>38</v>
      </c>
    </row>
    <row r="29" ht="19.5" customHeight="1">
      <c r="A29" s="19" t="s">
        <v>68</v>
      </c>
      <c r="B29" s="23">
        <v>274484.0</v>
      </c>
      <c r="C29" s="24" t="s">
        <v>37</v>
      </c>
    </row>
    <row r="30" ht="19.5" customHeight="1">
      <c r="A30" s="19" t="s">
        <v>69</v>
      </c>
      <c r="B30" s="23">
        <v>169571.0</v>
      </c>
      <c r="C30" s="24" t="s">
        <v>36</v>
      </c>
    </row>
    <row r="31" ht="19.5" customHeight="1">
      <c r="A31" s="19" t="s">
        <v>70</v>
      </c>
      <c r="B31" s="23">
        <v>184506.0</v>
      </c>
      <c r="C31" s="24" t="s">
        <v>38</v>
      </c>
    </row>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71"/>
    <col customWidth="1" min="4" max="4" width="10.71"/>
    <col customWidth="1" min="5" max="7" width="8.71"/>
    <col customWidth="1" min="8" max="8" width="36.86"/>
    <col customWidth="1" min="9" max="26" width="8.71"/>
  </cols>
  <sheetData>
    <row r="1" ht="14.25" customHeight="1"/>
    <row r="2" ht="14.25" customHeight="1">
      <c r="A2" s="34" t="s">
        <v>77</v>
      </c>
      <c r="B2" s="34" t="s">
        <v>78</v>
      </c>
      <c r="C2" s="35" t="s">
        <v>79</v>
      </c>
      <c r="D2" s="36" t="s">
        <v>80</v>
      </c>
    </row>
    <row r="3" ht="14.25" customHeight="1">
      <c r="A3" s="38" t="s">
        <v>82</v>
      </c>
      <c r="B3" s="39" t="s">
        <v>83</v>
      </c>
      <c r="C3" s="39" t="s">
        <v>84</v>
      </c>
      <c r="D3" s="40">
        <v>4378.0</v>
      </c>
    </row>
    <row r="4" ht="14.25" customHeight="1">
      <c r="A4" s="38" t="s">
        <v>82</v>
      </c>
      <c r="B4" s="39" t="s">
        <v>83</v>
      </c>
      <c r="C4" s="39" t="s">
        <v>86</v>
      </c>
      <c r="D4" s="40">
        <v>5254.0</v>
      </c>
    </row>
    <row r="5" ht="14.25" customHeight="1">
      <c r="A5" s="38" t="s">
        <v>82</v>
      </c>
      <c r="B5" s="39" t="s">
        <v>83</v>
      </c>
      <c r="C5" s="39" t="s">
        <v>87</v>
      </c>
      <c r="D5" s="40">
        <v>6130.0</v>
      </c>
    </row>
    <row r="6" ht="14.25" customHeight="1">
      <c r="A6" s="38" t="s">
        <v>82</v>
      </c>
      <c r="B6" s="39" t="s">
        <v>83</v>
      </c>
      <c r="C6" s="39" t="s">
        <v>88</v>
      </c>
      <c r="D6" s="40">
        <v>7443.0</v>
      </c>
    </row>
    <row r="7" ht="14.25" customHeight="1">
      <c r="A7" s="38" t="s">
        <v>82</v>
      </c>
      <c r="B7" s="39" t="s">
        <v>83</v>
      </c>
      <c r="C7" s="39" t="s">
        <v>89</v>
      </c>
      <c r="D7" s="40">
        <v>13135.0</v>
      </c>
      <c r="H7" s="50" t="s">
        <v>135</v>
      </c>
      <c r="I7" s="49"/>
    </row>
    <row r="8" ht="14.25" customHeight="1">
      <c r="A8" s="38" t="s">
        <v>82</v>
      </c>
      <c r="B8" s="39" t="s">
        <v>83</v>
      </c>
      <c r="C8" s="39" t="s">
        <v>91</v>
      </c>
      <c r="D8" s="40">
        <v>7443.0</v>
      </c>
    </row>
    <row r="9" ht="14.25" customHeight="1">
      <c r="A9" s="38" t="s">
        <v>82</v>
      </c>
      <c r="B9" s="39" t="s">
        <v>92</v>
      </c>
      <c r="C9" s="39" t="s">
        <v>84</v>
      </c>
      <c r="D9" s="40">
        <v>15890.0</v>
      </c>
      <c r="H9" s="50" t="s">
        <v>136</v>
      </c>
      <c r="I9" s="49"/>
    </row>
    <row r="10" ht="14.25" customHeight="1">
      <c r="A10" s="38" t="s">
        <v>82</v>
      </c>
      <c r="B10" s="39" t="s">
        <v>92</v>
      </c>
      <c r="C10" s="39" t="s">
        <v>86</v>
      </c>
      <c r="D10" s="40">
        <v>11917.0</v>
      </c>
    </row>
    <row r="11" ht="14.25" customHeight="1">
      <c r="A11" s="38" t="s">
        <v>82</v>
      </c>
      <c r="B11" s="39" t="s">
        <v>92</v>
      </c>
      <c r="C11" s="39" t="s">
        <v>87</v>
      </c>
      <c r="D11" s="40">
        <v>1490.0</v>
      </c>
    </row>
    <row r="12" ht="14.25" customHeight="1">
      <c r="A12" s="38" t="s">
        <v>82</v>
      </c>
      <c r="B12" s="39" t="s">
        <v>92</v>
      </c>
      <c r="C12" s="39" t="s">
        <v>88</v>
      </c>
      <c r="D12" s="46">
        <v>497.0</v>
      </c>
    </row>
    <row r="13" ht="14.25" customHeight="1">
      <c r="A13" s="38" t="s">
        <v>82</v>
      </c>
      <c r="B13" s="39" t="s">
        <v>92</v>
      </c>
      <c r="C13" s="39" t="s">
        <v>89</v>
      </c>
      <c r="D13" s="46">
        <v>993.0</v>
      </c>
    </row>
    <row r="14" ht="14.25" customHeight="1">
      <c r="A14" s="38" t="s">
        <v>82</v>
      </c>
      <c r="B14" s="39" t="s">
        <v>92</v>
      </c>
      <c r="C14" s="39" t="s">
        <v>94</v>
      </c>
      <c r="D14" s="40">
        <v>2483.0</v>
      </c>
    </row>
    <row r="15" ht="14.25" customHeight="1">
      <c r="A15" s="38" t="s">
        <v>82</v>
      </c>
      <c r="B15" s="39" t="s">
        <v>92</v>
      </c>
      <c r="C15" s="39" t="s">
        <v>96</v>
      </c>
      <c r="D15" s="40">
        <v>2979.0</v>
      </c>
    </row>
    <row r="16" ht="14.25" customHeight="1">
      <c r="A16" s="38" t="s">
        <v>82</v>
      </c>
      <c r="B16" s="39" t="s">
        <v>92</v>
      </c>
      <c r="C16" s="39" t="s">
        <v>98</v>
      </c>
      <c r="D16" s="40">
        <v>3972.0</v>
      </c>
    </row>
    <row r="17" ht="14.25" customHeight="1">
      <c r="A17" s="38" t="s">
        <v>82</v>
      </c>
      <c r="B17" s="39" t="s">
        <v>92</v>
      </c>
      <c r="C17" s="39" t="s">
        <v>99</v>
      </c>
      <c r="D17" s="40">
        <v>4469.0</v>
      </c>
    </row>
    <row r="18" ht="14.25" customHeight="1">
      <c r="A18" s="38" t="s">
        <v>82</v>
      </c>
      <c r="B18" s="39" t="s">
        <v>92</v>
      </c>
      <c r="C18" s="39" t="s">
        <v>85</v>
      </c>
      <c r="D18" s="46">
        <v>993.0</v>
      </c>
    </row>
    <row r="19" ht="14.25" customHeight="1">
      <c r="A19" s="38" t="s">
        <v>82</v>
      </c>
      <c r="B19" s="39" t="s">
        <v>92</v>
      </c>
      <c r="C19" s="39" t="s">
        <v>100</v>
      </c>
      <c r="D19" s="46">
        <v>497.0</v>
      </c>
    </row>
    <row r="20" ht="14.25" customHeight="1">
      <c r="A20" s="38" t="s">
        <v>82</v>
      </c>
      <c r="B20" s="39" t="s">
        <v>92</v>
      </c>
      <c r="C20" s="39" t="s">
        <v>91</v>
      </c>
      <c r="D20" s="40">
        <v>3476.0</v>
      </c>
    </row>
    <row r="21" ht="14.25" customHeight="1">
      <c r="A21" s="38" t="s">
        <v>82</v>
      </c>
      <c r="B21" s="39" t="s">
        <v>97</v>
      </c>
      <c r="C21" s="39" t="s">
        <v>84</v>
      </c>
      <c r="D21" s="40">
        <v>9267.0</v>
      </c>
    </row>
    <row r="22" ht="14.25" customHeight="1">
      <c r="A22" s="38" t="s">
        <v>82</v>
      </c>
      <c r="B22" s="39" t="s">
        <v>97</v>
      </c>
      <c r="C22" s="39" t="s">
        <v>86</v>
      </c>
      <c r="D22" s="40">
        <v>9731.0</v>
      </c>
    </row>
    <row r="23" ht="14.25" customHeight="1">
      <c r="A23" s="38" t="s">
        <v>82</v>
      </c>
      <c r="B23" s="39" t="s">
        <v>97</v>
      </c>
      <c r="C23" s="39" t="s">
        <v>87</v>
      </c>
      <c r="D23" s="40">
        <v>15754.0</v>
      </c>
    </row>
    <row r="24" ht="14.25" customHeight="1">
      <c r="A24" s="38" t="s">
        <v>82</v>
      </c>
      <c r="B24" s="39" t="s">
        <v>97</v>
      </c>
      <c r="C24" s="39" t="s">
        <v>88</v>
      </c>
      <c r="D24" s="46">
        <v>0.0</v>
      </c>
    </row>
    <row r="25" ht="14.25" customHeight="1">
      <c r="A25" s="38" t="s">
        <v>82</v>
      </c>
      <c r="B25" s="39" t="s">
        <v>97</v>
      </c>
      <c r="C25" s="39" t="s">
        <v>89</v>
      </c>
      <c r="D25" s="40">
        <v>1390.0</v>
      </c>
    </row>
    <row r="26" ht="14.25" customHeight="1">
      <c r="A26" s="38" t="s">
        <v>82</v>
      </c>
      <c r="B26" s="39" t="s">
        <v>97</v>
      </c>
      <c r="C26" s="39" t="s">
        <v>94</v>
      </c>
      <c r="D26" s="40">
        <v>1853.0</v>
      </c>
    </row>
    <row r="27" ht="14.25" customHeight="1">
      <c r="A27" s="38" t="s">
        <v>82</v>
      </c>
      <c r="B27" s="39" t="s">
        <v>97</v>
      </c>
      <c r="C27" s="39" t="s">
        <v>96</v>
      </c>
      <c r="D27" s="40">
        <v>2317.0</v>
      </c>
    </row>
    <row r="28" ht="14.25" customHeight="1">
      <c r="A28" s="38" t="s">
        <v>82</v>
      </c>
      <c r="B28" s="39" t="s">
        <v>97</v>
      </c>
      <c r="C28" s="39" t="s">
        <v>98</v>
      </c>
      <c r="D28" s="46">
        <v>0.0</v>
      </c>
    </row>
    <row r="29" ht="14.25" customHeight="1">
      <c r="A29" s="38" t="s">
        <v>82</v>
      </c>
      <c r="B29" s="39" t="s">
        <v>97</v>
      </c>
      <c r="C29" s="39" t="s">
        <v>99</v>
      </c>
      <c r="D29" s="46">
        <v>927.0</v>
      </c>
    </row>
    <row r="30" ht="14.25" customHeight="1">
      <c r="A30" s="38" t="s">
        <v>82</v>
      </c>
      <c r="B30" s="39" t="s">
        <v>97</v>
      </c>
      <c r="C30" s="39" t="s">
        <v>85</v>
      </c>
      <c r="D30" s="46">
        <v>0.0</v>
      </c>
    </row>
    <row r="31" ht="14.25" customHeight="1">
      <c r="A31" s="38" t="s">
        <v>82</v>
      </c>
      <c r="B31" s="39" t="s">
        <v>97</v>
      </c>
      <c r="C31" s="39" t="s">
        <v>100</v>
      </c>
      <c r="D31" s="46">
        <v>463.0</v>
      </c>
    </row>
    <row r="32" ht="14.25" customHeight="1">
      <c r="A32" s="38" t="s">
        <v>82</v>
      </c>
      <c r="B32" s="39" t="s">
        <v>97</v>
      </c>
      <c r="C32" s="39" t="s">
        <v>91</v>
      </c>
      <c r="D32" s="40">
        <v>2317.0</v>
      </c>
    </row>
    <row r="33" ht="14.25" customHeight="1">
      <c r="A33" s="38" t="s">
        <v>82</v>
      </c>
      <c r="B33" s="39" t="s">
        <v>101</v>
      </c>
      <c r="C33" s="39" t="s">
        <v>84</v>
      </c>
      <c r="D33" s="40">
        <v>5361.0</v>
      </c>
    </row>
    <row r="34" ht="14.25" customHeight="1">
      <c r="A34" s="38" t="s">
        <v>82</v>
      </c>
      <c r="B34" s="39" t="s">
        <v>101</v>
      </c>
      <c r="C34" s="39" t="s">
        <v>86</v>
      </c>
      <c r="D34" s="40">
        <v>5808.0</v>
      </c>
    </row>
    <row r="35" ht="14.25" customHeight="1">
      <c r="A35" s="38" t="s">
        <v>82</v>
      </c>
      <c r="B35" s="39" t="s">
        <v>101</v>
      </c>
      <c r="C35" s="39" t="s">
        <v>87</v>
      </c>
      <c r="D35" s="40">
        <v>6701.0</v>
      </c>
    </row>
    <row r="36" ht="14.25" customHeight="1">
      <c r="A36" s="38" t="s">
        <v>82</v>
      </c>
      <c r="B36" s="38" t="s">
        <v>101</v>
      </c>
      <c r="C36" s="38" t="s">
        <v>88</v>
      </c>
      <c r="D36" s="48">
        <v>7148.0</v>
      </c>
    </row>
    <row r="37" ht="14.25" customHeight="1">
      <c r="A37" s="38" t="s">
        <v>82</v>
      </c>
      <c r="B37" s="38" t="s">
        <v>101</v>
      </c>
      <c r="C37" s="38" t="s">
        <v>89</v>
      </c>
      <c r="D37" s="48">
        <v>8042.0</v>
      </c>
    </row>
    <row r="38" ht="14.25" customHeight="1">
      <c r="A38" s="38" t="s">
        <v>82</v>
      </c>
      <c r="B38" s="38" t="s">
        <v>101</v>
      </c>
      <c r="C38" s="38" t="s">
        <v>94</v>
      </c>
      <c r="D38" s="48">
        <v>447.0</v>
      </c>
    </row>
    <row r="39" ht="14.25" customHeight="1">
      <c r="A39" s="38" t="s">
        <v>82</v>
      </c>
      <c r="B39" s="38" t="s">
        <v>101</v>
      </c>
      <c r="C39" s="38" t="s">
        <v>96</v>
      </c>
      <c r="D39" s="48">
        <v>894.0</v>
      </c>
    </row>
    <row r="40" ht="14.25" customHeight="1">
      <c r="A40" s="38" t="s">
        <v>82</v>
      </c>
      <c r="B40" s="38" t="s">
        <v>101</v>
      </c>
      <c r="C40" s="38" t="s">
        <v>98</v>
      </c>
      <c r="D40" s="48">
        <v>1340.0</v>
      </c>
    </row>
    <row r="41" ht="14.25" customHeight="1">
      <c r="A41" s="38" t="s">
        <v>82</v>
      </c>
      <c r="B41" s="38" t="s">
        <v>101</v>
      </c>
      <c r="C41" s="38" t="s">
        <v>99</v>
      </c>
      <c r="D41" s="48">
        <v>1787.0</v>
      </c>
    </row>
    <row r="42" ht="14.25" customHeight="1">
      <c r="A42" s="38" t="s">
        <v>82</v>
      </c>
      <c r="B42" s="38" t="s">
        <v>101</v>
      </c>
      <c r="C42" s="38" t="s">
        <v>85</v>
      </c>
      <c r="D42" s="48">
        <v>1340.0</v>
      </c>
    </row>
    <row r="43" ht="14.25" customHeight="1">
      <c r="A43" s="38" t="s">
        <v>82</v>
      </c>
      <c r="B43" s="38" t="s">
        <v>101</v>
      </c>
      <c r="C43" s="38" t="s">
        <v>100</v>
      </c>
      <c r="D43" s="48">
        <v>4468.0</v>
      </c>
    </row>
    <row r="44" ht="14.25" customHeight="1">
      <c r="A44" s="38" t="s">
        <v>82</v>
      </c>
      <c r="B44" s="38" t="s">
        <v>101</v>
      </c>
      <c r="C44" s="38" t="s">
        <v>91</v>
      </c>
      <c r="D44" s="48">
        <v>1340.0</v>
      </c>
    </row>
    <row r="45" ht="14.25" customHeight="1">
      <c r="A45" s="38" t="s">
        <v>82</v>
      </c>
      <c r="B45" s="38" t="s">
        <v>102</v>
      </c>
      <c r="C45" s="38" t="s">
        <v>84</v>
      </c>
      <c r="D45" s="48">
        <v>5108.0</v>
      </c>
    </row>
    <row r="46" ht="14.25" customHeight="1">
      <c r="A46" s="38" t="s">
        <v>82</v>
      </c>
      <c r="B46" s="38" t="s">
        <v>102</v>
      </c>
      <c r="C46" s="38" t="s">
        <v>86</v>
      </c>
      <c r="D46" s="48">
        <v>0.0</v>
      </c>
    </row>
    <row r="47" ht="14.25" customHeight="1">
      <c r="A47" s="38" t="s">
        <v>82</v>
      </c>
      <c r="B47" s="38" t="s">
        <v>102</v>
      </c>
      <c r="C47" s="38" t="s">
        <v>87</v>
      </c>
      <c r="D47" s="48">
        <v>0.0</v>
      </c>
    </row>
    <row r="48" ht="14.25" customHeight="1">
      <c r="A48" s="38" t="s">
        <v>82</v>
      </c>
      <c r="B48" s="38" t="s">
        <v>102</v>
      </c>
      <c r="C48" s="38" t="s">
        <v>88</v>
      </c>
      <c r="D48" s="48">
        <v>0.0</v>
      </c>
    </row>
    <row r="49" ht="14.25" customHeight="1">
      <c r="A49" s="38" t="s">
        <v>82</v>
      </c>
      <c r="B49" s="38" t="s">
        <v>102</v>
      </c>
      <c r="C49" s="38" t="s">
        <v>89</v>
      </c>
      <c r="D49" s="48">
        <v>851.0</v>
      </c>
    </row>
    <row r="50" ht="14.25" customHeight="1">
      <c r="A50" s="38" t="s">
        <v>82</v>
      </c>
      <c r="B50" s="38" t="s">
        <v>102</v>
      </c>
      <c r="C50" s="38" t="s">
        <v>94</v>
      </c>
      <c r="D50" s="48">
        <v>2554.0</v>
      </c>
    </row>
    <row r="51" ht="14.25" customHeight="1">
      <c r="A51" s="38" t="s">
        <v>82</v>
      </c>
      <c r="B51" s="38" t="s">
        <v>102</v>
      </c>
      <c r="C51" s="38" t="s">
        <v>96</v>
      </c>
      <c r="D51" s="48">
        <v>8514.0</v>
      </c>
    </row>
    <row r="52" ht="14.25" customHeight="1">
      <c r="A52" s="38" t="s">
        <v>82</v>
      </c>
      <c r="B52" s="38" t="s">
        <v>102</v>
      </c>
      <c r="C52" s="38" t="s">
        <v>98</v>
      </c>
      <c r="D52" s="48">
        <v>0.0</v>
      </c>
    </row>
    <row r="53" ht="14.25" customHeight="1">
      <c r="A53" s="38" t="s">
        <v>82</v>
      </c>
      <c r="B53" s="38" t="s">
        <v>102</v>
      </c>
      <c r="C53" s="38" t="s">
        <v>99</v>
      </c>
      <c r="D53" s="48">
        <v>0.0</v>
      </c>
    </row>
    <row r="54" ht="14.25" customHeight="1">
      <c r="A54" s="38" t="s">
        <v>82</v>
      </c>
      <c r="B54" s="38" t="s">
        <v>102</v>
      </c>
      <c r="C54" s="38" t="s">
        <v>85</v>
      </c>
      <c r="D54" s="48">
        <v>0.0</v>
      </c>
    </row>
    <row r="55" ht="14.25" customHeight="1">
      <c r="A55" s="38" t="s">
        <v>82</v>
      </c>
      <c r="B55" s="38" t="s">
        <v>102</v>
      </c>
      <c r="C55" s="38" t="s">
        <v>100</v>
      </c>
      <c r="D55" s="48">
        <v>12771.0</v>
      </c>
    </row>
    <row r="56" ht="14.25" customHeight="1">
      <c r="A56" s="38" t="s">
        <v>82</v>
      </c>
      <c r="B56" s="38" t="s">
        <v>102</v>
      </c>
      <c r="C56" s="38" t="s">
        <v>91</v>
      </c>
      <c r="D56" s="48">
        <v>12771.0</v>
      </c>
    </row>
    <row r="57" ht="14.25" customHeight="1">
      <c r="A57" s="38" t="s">
        <v>95</v>
      </c>
      <c r="B57" s="38" t="s">
        <v>83</v>
      </c>
      <c r="C57" s="38" t="s">
        <v>103</v>
      </c>
      <c r="D57" s="48">
        <v>0.0</v>
      </c>
    </row>
    <row r="58" ht="14.25" customHeight="1">
      <c r="A58" s="38" t="s">
        <v>95</v>
      </c>
      <c r="B58" s="38" t="s">
        <v>83</v>
      </c>
      <c r="C58" s="38" t="s">
        <v>104</v>
      </c>
      <c r="D58" s="48">
        <v>0.0</v>
      </c>
    </row>
    <row r="59" ht="14.25" customHeight="1">
      <c r="A59" s="38" t="s">
        <v>95</v>
      </c>
      <c r="B59" s="38" t="s">
        <v>83</v>
      </c>
      <c r="C59" s="38" t="s">
        <v>105</v>
      </c>
      <c r="D59" s="48">
        <v>0.0</v>
      </c>
    </row>
    <row r="60" ht="14.25" customHeight="1">
      <c r="A60" s="38" t="s">
        <v>95</v>
      </c>
      <c r="B60" s="38" t="s">
        <v>83</v>
      </c>
      <c r="C60" s="38" t="s">
        <v>106</v>
      </c>
      <c r="D60" s="48">
        <v>0.0</v>
      </c>
    </row>
    <row r="61" ht="14.25" customHeight="1">
      <c r="A61" s="38" t="s">
        <v>95</v>
      </c>
      <c r="B61" s="38" t="s">
        <v>83</v>
      </c>
      <c r="C61" s="38" t="s">
        <v>107</v>
      </c>
      <c r="D61" s="48">
        <v>3513.0</v>
      </c>
    </row>
    <row r="62" ht="14.25" customHeight="1">
      <c r="A62" s="38" t="s">
        <v>95</v>
      </c>
      <c r="B62" s="38" t="s">
        <v>83</v>
      </c>
      <c r="C62" s="38" t="s">
        <v>108</v>
      </c>
      <c r="D62" s="48">
        <v>2928.0</v>
      </c>
    </row>
    <row r="63" ht="14.25" customHeight="1">
      <c r="A63" s="38" t="s">
        <v>95</v>
      </c>
      <c r="B63" s="38" t="s">
        <v>83</v>
      </c>
      <c r="C63" s="38" t="s">
        <v>109</v>
      </c>
      <c r="D63" s="48">
        <v>1757.0</v>
      </c>
    </row>
    <row r="64" ht="14.25" customHeight="1">
      <c r="A64" s="38" t="s">
        <v>95</v>
      </c>
      <c r="B64" s="38" t="s">
        <v>83</v>
      </c>
      <c r="C64" s="38" t="s">
        <v>110</v>
      </c>
      <c r="D64" s="48">
        <v>3513.0</v>
      </c>
    </row>
    <row r="65" ht="14.25" customHeight="1">
      <c r="A65" s="38" t="s">
        <v>95</v>
      </c>
      <c r="B65" s="38" t="s">
        <v>83</v>
      </c>
      <c r="C65" s="38" t="s">
        <v>111</v>
      </c>
      <c r="D65" s="48">
        <v>0.0</v>
      </c>
    </row>
    <row r="66" ht="14.25" customHeight="1">
      <c r="A66" s="38" t="s">
        <v>95</v>
      </c>
      <c r="B66" s="38" t="s">
        <v>83</v>
      </c>
      <c r="C66" s="38" t="s">
        <v>112</v>
      </c>
      <c r="D66" s="48">
        <v>0.0</v>
      </c>
    </row>
    <row r="67" ht="14.25" customHeight="1">
      <c r="A67" s="38" t="s">
        <v>95</v>
      </c>
      <c r="B67" s="38" t="s">
        <v>83</v>
      </c>
      <c r="C67" s="38" t="s">
        <v>113</v>
      </c>
      <c r="D67" s="48">
        <v>0.0</v>
      </c>
    </row>
    <row r="68" ht="14.25" customHeight="1">
      <c r="A68" s="38" t="s">
        <v>95</v>
      </c>
      <c r="B68" s="38" t="s">
        <v>83</v>
      </c>
      <c r="C68" s="38" t="s">
        <v>114</v>
      </c>
      <c r="D68" s="48">
        <v>0.0</v>
      </c>
    </row>
    <row r="69" ht="14.25" customHeight="1">
      <c r="A69" s="38" t="s">
        <v>95</v>
      </c>
      <c r="B69" s="38" t="s">
        <v>83</v>
      </c>
      <c r="C69" s="38" t="s">
        <v>115</v>
      </c>
      <c r="D69" s="48">
        <v>878.0</v>
      </c>
    </row>
    <row r="70" ht="14.25" customHeight="1">
      <c r="A70" s="38" t="s">
        <v>95</v>
      </c>
      <c r="B70" s="38" t="s">
        <v>83</v>
      </c>
      <c r="C70" s="38" t="s">
        <v>116</v>
      </c>
      <c r="D70" s="48">
        <v>3513.0</v>
      </c>
    </row>
    <row r="71" ht="14.25" customHeight="1">
      <c r="A71" s="38" t="s">
        <v>95</v>
      </c>
      <c r="B71" s="38" t="s">
        <v>83</v>
      </c>
      <c r="C71" s="38" t="s">
        <v>117</v>
      </c>
      <c r="D71" s="48">
        <v>13174.0</v>
      </c>
    </row>
    <row r="72" ht="14.25" customHeight="1">
      <c r="A72" s="38" t="s">
        <v>95</v>
      </c>
      <c r="B72" s="38" t="s">
        <v>92</v>
      </c>
      <c r="C72" s="38" t="s">
        <v>109</v>
      </c>
      <c r="D72" s="48">
        <v>2342.0</v>
      </c>
    </row>
    <row r="73" ht="14.25" customHeight="1">
      <c r="A73" s="38" t="s">
        <v>95</v>
      </c>
      <c r="B73" s="38" t="s">
        <v>92</v>
      </c>
      <c r="C73" s="38" t="s">
        <v>110</v>
      </c>
      <c r="D73" s="48">
        <v>4977.0</v>
      </c>
    </row>
    <row r="74" ht="14.25" customHeight="1">
      <c r="A74" s="38" t="s">
        <v>95</v>
      </c>
      <c r="B74" s="38" t="s">
        <v>92</v>
      </c>
      <c r="C74" s="38" t="s">
        <v>111</v>
      </c>
      <c r="D74" s="48">
        <v>7612.0</v>
      </c>
    </row>
    <row r="75" ht="14.25" customHeight="1">
      <c r="A75" s="38" t="s">
        <v>95</v>
      </c>
      <c r="B75" s="38" t="s">
        <v>92</v>
      </c>
      <c r="C75" s="38" t="s">
        <v>112</v>
      </c>
      <c r="D75" s="48">
        <v>6734.0</v>
      </c>
    </row>
    <row r="76" ht="14.25" customHeight="1">
      <c r="A76" s="38" t="s">
        <v>95</v>
      </c>
      <c r="B76" s="38" t="s">
        <v>92</v>
      </c>
      <c r="C76" s="38" t="s">
        <v>113</v>
      </c>
      <c r="D76" s="48">
        <v>1171.0</v>
      </c>
    </row>
    <row r="77" ht="14.25" customHeight="1">
      <c r="A77" s="38" t="s">
        <v>95</v>
      </c>
      <c r="B77" s="38" t="s">
        <v>92</v>
      </c>
      <c r="C77" s="38" t="s">
        <v>114</v>
      </c>
      <c r="D77" s="48">
        <v>0.0</v>
      </c>
    </row>
    <row r="78" ht="14.25" customHeight="1">
      <c r="A78" s="38" t="s">
        <v>95</v>
      </c>
      <c r="B78" s="38" t="s">
        <v>92</v>
      </c>
      <c r="C78" s="38" t="s">
        <v>115</v>
      </c>
      <c r="D78" s="48">
        <v>0.0</v>
      </c>
    </row>
    <row r="79" ht="14.25" customHeight="1">
      <c r="A79" s="38" t="s">
        <v>95</v>
      </c>
      <c r="B79" s="38" t="s">
        <v>92</v>
      </c>
      <c r="C79" s="38" t="s">
        <v>116</v>
      </c>
      <c r="D79" s="48">
        <v>0.0</v>
      </c>
    </row>
    <row r="80" ht="14.25" customHeight="1">
      <c r="A80" s="38" t="s">
        <v>95</v>
      </c>
      <c r="B80" s="38" t="s">
        <v>92</v>
      </c>
      <c r="C80" s="38" t="s">
        <v>117</v>
      </c>
      <c r="D80" s="48">
        <v>6441.0</v>
      </c>
    </row>
    <row r="81" ht="14.25" customHeight="1">
      <c r="A81" s="38" t="s">
        <v>95</v>
      </c>
      <c r="B81" s="38" t="s">
        <v>97</v>
      </c>
      <c r="C81" s="38" t="s">
        <v>103</v>
      </c>
      <c r="D81" s="48">
        <v>911.0</v>
      </c>
    </row>
    <row r="82" ht="14.25" customHeight="1">
      <c r="A82" s="38" t="s">
        <v>95</v>
      </c>
      <c r="B82" s="38" t="s">
        <v>97</v>
      </c>
      <c r="C82" s="38" t="s">
        <v>104</v>
      </c>
      <c r="D82" s="48">
        <v>2277.0</v>
      </c>
    </row>
    <row r="83" ht="14.25" customHeight="1">
      <c r="A83" s="38" t="s">
        <v>95</v>
      </c>
      <c r="B83" s="38" t="s">
        <v>97</v>
      </c>
      <c r="C83" s="38" t="s">
        <v>105</v>
      </c>
      <c r="D83" s="48">
        <v>3188.0</v>
      </c>
    </row>
    <row r="84" ht="14.25" customHeight="1">
      <c r="A84" s="38" t="s">
        <v>95</v>
      </c>
      <c r="B84" s="38" t="s">
        <v>97</v>
      </c>
      <c r="C84" s="38" t="s">
        <v>106</v>
      </c>
      <c r="D84" s="48">
        <v>3643.0</v>
      </c>
    </row>
    <row r="85" ht="14.25" customHeight="1">
      <c r="A85" s="38" t="s">
        <v>95</v>
      </c>
      <c r="B85" s="38" t="s">
        <v>97</v>
      </c>
      <c r="C85" s="38" t="s">
        <v>107</v>
      </c>
      <c r="D85" s="48">
        <v>5465.0</v>
      </c>
    </row>
    <row r="86" ht="14.25" customHeight="1">
      <c r="A86" s="38" t="s">
        <v>95</v>
      </c>
      <c r="B86" s="38" t="s">
        <v>97</v>
      </c>
      <c r="C86" s="38" t="s">
        <v>108</v>
      </c>
      <c r="D86" s="48">
        <v>0.0</v>
      </c>
    </row>
    <row r="87" ht="14.25" customHeight="1">
      <c r="A87" s="38" t="s">
        <v>95</v>
      </c>
      <c r="B87" s="38" t="s">
        <v>97</v>
      </c>
      <c r="C87" s="38" t="s">
        <v>109</v>
      </c>
      <c r="D87" s="48">
        <v>0.0</v>
      </c>
    </row>
    <row r="88" ht="14.25" customHeight="1">
      <c r="A88" s="38" t="s">
        <v>95</v>
      </c>
      <c r="B88" s="38" t="s">
        <v>97</v>
      </c>
      <c r="C88" s="38" t="s">
        <v>110</v>
      </c>
      <c r="D88" s="48">
        <v>1822.0</v>
      </c>
    </row>
    <row r="89" ht="14.25" customHeight="1">
      <c r="A89" s="38" t="s">
        <v>95</v>
      </c>
      <c r="B89" s="38" t="s">
        <v>97</v>
      </c>
      <c r="C89" s="38" t="s">
        <v>111</v>
      </c>
      <c r="D89" s="48">
        <v>2732.0</v>
      </c>
    </row>
    <row r="90" ht="14.25" customHeight="1">
      <c r="A90" s="38" t="s">
        <v>95</v>
      </c>
      <c r="B90" s="38" t="s">
        <v>97</v>
      </c>
      <c r="C90" s="38" t="s">
        <v>112</v>
      </c>
      <c r="D90" s="48">
        <v>3188.0</v>
      </c>
    </row>
    <row r="91" ht="14.25" customHeight="1">
      <c r="A91" s="38" t="s">
        <v>95</v>
      </c>
      <c r="B91" s="38" t="s">
        <v>97</v>
      </c>
      <c r="C91" s="38" t="s">
        <v>113</v>
      </c>
      <c r="D91" s="48">
        <v>5465.0</v>
      </c>
    </row>
    <row r="92" ht="14.25" customHeight="1">
      <c r="A92" s="38" t="s">
        <v>95</v>
      </c>
      <c r="B92" s="38" t="s">
        <v>97</v>
      </c>
      <c r="C92" s="38" t="s">
        <v>114</v>
      </c>
      <c r="D92" s="48">
        <v>4554.0</v>
      </c>
    </row>
    <row r="93" ht="14.25" customHeight="1">
      <c r="A93" s="38" t="s">
        <v>95</v>
      </c>
      <c r="B93" s="38" t="s">
        <v>97</v>
      </c>
      <c r="C93" s="38" t="s">
        <v>115</v>
      </c>
      <c r="D93" s="48">
        <v>455.0</v>
      </c>
    </row>
    <row r="94" ht="14.25" customHeight="1">
      <c r="A94" s="38" t="s">
        <v>95</v>
      </c>
      <c r="B94" s="38" t="s">
        <v>97</v>
      </c>
      <c r="C94" s="38" t="s">
        <v>116</v>
      </c>
      <c r="D94" s="48">
        <v>911.0</v>
      </c>
    </row>
    <row r="95" ht="14.25" customHeight="1">
      <c r="A95" s="38" t="s">
        <v>95</v>
      </c>
      <c r="B95" s="38" t="s">
        <v>97</v>
      </c>
      <c r="C95" s="38" t="s">
        <v>117</v>
      </c>
      <c r="D95" s="48">
        <v>10930.0</v>
      </c>
    </row>
    <row r="96" ht="14.25" customHeight="1">
      <c r="A96" s="38" t="s">
        <v>95</v>
      </c>
      <c r="B96" s="38" t="s">
        <v>101</v>
      </c>
      <c r="C96" s="38" t="s">
        <v>103</v>
      </c>
      <c r="D96" s="48">
        <v>1708.0</v>
      </c>
    </row>
    <row r="97" ht="14.25" customHeight="1">
      <c r="A97" s="38" t="s">
        <v>95</v>
      </c>
      <c r="B97" s="38" t="s">
        <v>101</v>
      </c>
      <c r="C97" s="38" t="s">
        <v>104</v>
      </c>
      <c r="D97" s="48">
        <v>683.0</v>
      </c>
    </row>
    <row r="98" ht="14.25" customHeight="1">
      <c r="A98" s="38" t="s">
        <v>95</v>
      </c>
      <c r="B98" s="38" t="s">
        <v>101</v>
      </c>
      <c r="C98" s="38" t="s">
        <v>105</v>
      </c>
      <c r="D98" s="48">
        <v>683.0</v>
      </c>
    </row>
    <row r="99" ht="14.25" customHeight="1">
      <c r="A99" s="38" t="s">
        <v>95</v>
      </c>
      <c r="B99" s="38" t="s">
        <v>101</v>
      </c>
      <c r="C99" s="38" t="s">
        <v>106</v>
      </c>
      <c r="D99" s="48">
        <v>683.0</v>
      </c>
    </row>
    <row r="100" ht="14.25" customHeight="1">
      <c r="A100" s="38" t="s">
        <v>95</v>
      </c>
      <c r="B100" s="38" t="s">
        <v>101</v>
      </c>
      <c r="C100" s="38" t="s">
        <v>107</v>
      </c>
      <c r="D100" s="48">
        <v>6148.0</v>
      </c>
    </row>
    <row r="101" ht="14.25" customHeight="1">
      <c r="A101" s="38" t="s">
        <v>95</v>
      </c>
      <c r="B101" s="38" t="s">
        <v>101</v>
      </c>
      <c r="C101" s="38" t="s">
        <v>108</v>
      </c>
      <c r="D101" s="48">
        <v>1025.0</v>
      </c>
    </row>
    <row r="102" ht="14.25" customHeight="1">
      <c r="A102" s="38" t="s">
        <v>95</v>
      </c>
      <c r="B102" s="38" t="s">
        <v>101</v>
      </c>
      <c r="C102" s="38" t="s">
        <v>109</v>
      </c>
      <c r="D102" s="48">
        <v>683.0</v>
      </c>
    </row>
    <row r="103" ht="14.25" customHeight="1">
      <c r="A103" s="38" t="s">
        <v>95</v>
      </c>
      <c r="B103" s="38" t="s">
        <v>101</v>
      </c>
      <c r="C103" s="38" t="s">
        <v>110</v>
      </c>
      <c r="D103" s="48">
        <v>1366.0</v>
      </c>
    </row>
    <row r="104" ht="14.25" customHeight="1">
      <c r="A104" s="38" t="s">
        <v>95</v>
      </c>
      <c r="B104" s="38" t="s">
        <v>101</v>
      </c>
      <c r="C104" s="38" t="s">
        <v>111</v>
      </c>
      <c r="D104" s="48">
        <v>1708.0</v>
      </c>
    </row>
    <row r="105" ht="14.25" customHeight="1">
      <c r="A105" s="38" t="s">
        <v>95</v>
      </c>
      <c r="B105" s="38" t="s">
        <v>101</v>
      </c>
      <c r="C105" s="38" t="s">
        <v>112</v>
      </c>
      <c r="D105" s="48">
        <v>6148.0</v>
      </c>
    </row>
    <row r="106" ht="14.25" customHeight="1">
      <c r="A106" s="38" t="s">
        <v>95</v>
      </c>
      <c r="B106" s="38" t="s">
        <v>101</v>
      </c>
      <c r="C106" s="38" t="s">
        <v>113</v>
      </c>
      <c r="D106" s="48">
        <v>7514.0</v>
      </c>
    </row>
    <row r="107" ht="14.25" customHeight="1">
      <c r="A107" s="38" t="s">
        <v>95</v>
      </c>
      <c r="B107" s="38" t="s">
        <v>101</v>
      </c>
      <c r="C107" s="38" t="s">
        <v>114</v>
      </c>
      <c r="D107" s="48">
        <v>683.0</v>
      </c>
    </row>
    <row r="108" ht="14.25" customHeight="1">
      <c r="A108" s="38" t="s">
        <v>95</v>
      </c>
      <c r="B108" s="38" t="s">
        <v>101</v>
      </c>
      <c r="C108" s="38" t="s">
        <v>115</v>
      </c>
      <c r="D108" s="48">
        <v>342.0</v>
      </c>
    </row>
    <row r="109" ht="14.25" customHeight="1">
      <c r="A109" s="38" t="s">
        <v>95</v>
      </c>
      <c r="B109" s="38" t="s">
        <v>101</v>
      </c>
      <c r="C109" s="38" t="s">
        <v>116</v>
      </c>
      <c r="D109" s="48">
        <v>3416.0</v>
      </c>
    </row>
    <row r="110" ht="14.25" customHeight="1">
      <c r="A110" s="38" t="s">
        <v>95</v>
      </c>
      <c r="B110" s="38" t="s">
        <v>101</v>
      </c>
      <c r="C110" s="38" t="s">
        <v>117</v>
      </c>
      <c r="D110" s="48">
        <v>1366.0</v>
      </c>
    </row>
    <row r="111" ht="14.25" customHeight="1">
      <c r="A111" s="38" t="s">
        <v>95</v>
      </c>
      <c r="B111" s="38" t="s">
        <v>102</v>
      </c>
      <c r="C111" s="38" t="s">
        <v>103</v>
      </c>
      <c r="D111" s="48">
        <v>1220.0</v>
      </c>
    </row>
    <row r="112" ht="14.25" customHeight="1">
      <c r="A112" s="38" t="s">
        <v>95</v>
      </c>
      <c r="B112" s="38" t="s">
        <v>102</v>
      </c>
      <c r="C112" s="38" t="s">
        <v>104</v>
      </c>
      <c r="D112" s="48">
        <v>2732.0</v>
      </c>
    </row>
    <row r="113" ht="14.25" customHeight="1">
      <c r="A113" s="38" t="s">
        <v>95</v>
      </c>
      <c r="B113" s="38" t="s">
        <v>102</v>
      </c>
      <c r="C113" s="38" t="s">
        <v>105</v>
      </c>
      <c r="D113" s="48">
        <v>9563.0</v>
      </c>
    </row>
    <row r="114" ht="14.25" customHeight="1">
      <c r="A114" s="38" t="s">
        <v>95</v>
      </c>
      <c r="B114" s="38" t="s">
        <v>102</v>
      </c>
      <c r="C114" s="38" t="s">
        <v>113</v>
      </c>
      <c r="D114" s="48">
        <v>1025.0</v>
      </c>
    </row>
    <row r="115" ht="14.25" customHeight="1">
      <c r="A115" s="38" t="s">
        <v>95</v>
      </c>
      <c r="B115" s="38" t="s">
        <v>102</v>
      </c>
      <c r="C115" s="38" t="s">
        <v>114</v>
      </c>
      <c r="D115" s="48">
        <v>0.0</v>
      </c>
    </row>
    <row r="116" ht="14.25" customHeight="1">
      <c r="A116" s="38" t="s">
        <v>95</v>
      </c>
      <c r="B116" s="38" t="s">
        <v>102</v>
      </c>
      <c r="C116" s="38" t="s">
        <v>115</v>
      </c>
      <c r="D116" s="48">
        <v>683.0</v>
      </c>
    </row>
    <row r="117" ht="14.25" customHeight="1">
      <c r="A117" s="38" t="s">
        <v>95</v>
      </c>
      <c r="B117" s="38" t="s">
        <v>102</v>
      </c>
      <c r="C117" s="38" t="s">
        <v>116</v>
      </c>
      <c r="D117" s="48">
        <v>12979.0</v>
      </c>
    </row>
    <row r="118" ht="14.25" customHeight="1">
      <c r="A118" s="38" t="s">
        <v>95</v>
      </c>
      <c r="B118" s="38" t="s">
        <v>102</v>
      </c>
      <c r="C118" s="38" t="s">
        <v>117</v>
      </c>
      <c r="D118" s="48">
        <v>5465.0</v>
      </c>
    </row>
    <row r="119" ht="14.25" customHeight="1">
      <c r="A119" s="38" t="s">
        <v>118</v>
      </c>
      <c r="B119" s="38" t="s">
        <v>92</v>
      </c>
      <c r="C119" s="38" t="s">
        <v>119</v>
      </c>
      <c r="D119" s="48">
        <v>684.0</v>
      </c>
    </row>
    <row r="120" ht="14.25" customHeight="1">
      <c r="A120" s="38" t="s">
        <v>118</v>
      </c>
      <c r="B120" s="38" t="s">
        <v>92</v>
      </c>
      <c r="C120" s="38" t="s">
        <v>120</v>
      </c>
      <c r="D120" s="48">
        <v>4104.0</v>
      </c>
    </row>
    <row r="121" ht="14.25" customHeight="1">
      <c r="A121" s="38" t="s">
        <v>118</v>
      </c>
      <c r="B121" s="38" t="s">
        <v>92</v>
      </c>
      <c r="C121" s="38" t="s">
        <v>121</v>
      </c>
      <c r="D121" s="48">
        <v>0.0</v>
      </c>
    </row>
    <row r="122" ht="14.25" customHeight="1">
      <c r="A122" s="38" t="s">
        <v>118</v>
      </c>
      <c r="B122" s="38" t="s">
        <v>92</v>
      </c>
      <c r="C122" s="38" t="s">
        <v>122</v>
      </c>
      <c r="D122" s="48">
        <v>1710.0</v>
      </c>
    </row>
    <row r="123" ht="14.25" customHeight="1">
      <c r="A123" s="38" t="s">
        <v>118</v>
      </c>
      <c r="B123" s="38" t="s">
        <v>92</v>
      </c>
      <c r="C123" s="38" t="s">
        <v>123</v>
      </c>
      <c r="D123" s="48">
        <v>684.0</v>
      </c>
    </row>
    <row r="124" ht="14.25" customHeight="1">
      <c r="A124" s="38" t="s">
        <v>118</v>
      </c>
      <c r="B124" s="38" t="s">
        <v>92</v>
      </c>
      <c r="C124" s="38" t="s">
        <v>124</v>
      </c>
      <c r="D124" s="48">
        <v>684.0</v>
      </c>
    </row>
    <row r="125" ht="14.25" customHeight="1">
      <c r="A125" s="38" t="s">
        <v>118</v>
      </c>
      <c r="B125" s="38" t="s">
        <v>92</v>
      </c>
      <c r="C125" s="38" t="s">
        <v>125</v>
      </c>
      <c r="D125" s="48">
        <v>0.0</v>
      </c>
    </row>
    <row r="126" ht="14.25" customHeight="1">
      <c r="A126" s="38" t="s">
        <v>118</v>
      </c>
      <c r="B126" s="38" t="s">
        <v>92</v>
      </c>
      <c r="C126" s="38" t="s">
        <v>126</v>
      </c>
      <c r="D126" s="48">
        <v>10259.0</v>
      </c>
    </row>
    <row r="127" ht="14.25" customHeight="1">
      <c r="A127" s="38" t="s">
        <v>118</v>
      </c>
      <c r="B127" s="38" t="s">
        <v>92</v>
      </c>
      <c r="C127" s="38" t="s">
        <v>127</v>
      </c>
      <c r="D127" s="48">
        <v>1026.0</v>
      </c>
    </row>
    <row r="128" ht="14.25" customHeight="1">
      <c r="A128" s="38" t="s">
        <v>118</v>
      </c>
      <c r="B128" s="38" t="s">
        <v>92</v>
      </c>
      <c r="C128" s="38" t="s">
        <v>128</v>
      </c>
      <c r="D128" s="48">
        <v>342.0</v>
      </c>
    </row>
    <row r="129" ht="14.25" customHeight="1">
      <c r="A129" s="38" t="s">
        <v>118</v>
      </c>
      <c r="B129" s="38" t="s">
        <v>92</v>
      </c>
      <c r="C129" s="38" t="s">
        <v>129</v>
      </c>
      <c r="D129" s="48">
        <v>684.0</v>
      </c>
    </row>
    <row r="130" ht="14.25" customHeight="1">
      <c r="A130" s="38" t="s">
        <v>118</v>
      </c>
      <c r="B130" s="38" t="s">
        <v>92</v>
      </c>
      <c r="C130" s="38" t="s">
        <v>130</v>
      </c>
      <c r="D130" s="48">
        <v>6839.0</v>
      </c>
    </row>
    <row r="131" ht="14.25" customHeight="1">
      <c r="A131" s="38" t="s">
        <v>118</v>
      </c>
      <c r="B131" s="38" t="s">
        <v>92</v>
      </c>
      <c r="C131" s="38" t="s">
        <v>131</v>
      </c>
      <c r="D131" s="48">
        <v>7181.0</v>
      </c>
    </row>
    <row r="132" ht="14.25" customHeight="1">
      <c r="A132" s="38" t="s">
        <v>118</v>
      </c>
      <c r="B132" s="38" t="s">
        <v>97</v>
      </c>
      <c r="C132" s="38" t="s">
        <v>119</v>
      </c>
      <c r="D132" s="48">
        <v>2622.0</v>
      </c>
    </row>
    <row r="133" ht="14.25" customHeight="1">
      <c r="A133" s="38" t="s">
        <v>118</v>
      </c>
      <c r="B133" s="38" t="s">
        <v>97</v>
      </c>
      <c r="C133" s="38" t="s">
        <v>120</v>
      </c>
      <c r="D133" s="48">
        <v>2185.0</v>
      </c>
    </row>
    <row r="134" ht="14.25" customHeight="1">
      <c r="A134" s="38" t="s">
        <v>118</v>
      </c>
      <c r="B134" s="38" t="s">
        <v>97</v>
      </c>
      <c r="C134" s="38" t="s">
        <v>121</v>
      </c>
      <c r="D134" s="48">
        <v>1748.0</v>
      </c>
    </row>
    <row r="135" ht="14.25" customHeight="1">
      <c r="A135" s="38" t="s">
        <v>118</v>
      </c>
      <c r="B135" s="38" t="s">
        <v>97</v>
      </c>
      <c r="C135" s="38" t="s">
        <v>122</v>
      </c>
      <c r="D135" s="48">
        <v>5243.0</v>
      </c>
    </row>
    <row r="136" ht="14.25" customHeight="1">
      <c r="A136" s="38" t="s">
        <v>118</v>
      </c>
      <c r="B136" s="38" t="s">
        <v>97</v>
      </c>
      <c r="C136" s="38" t="s">
        <v>123</v>
      </c>
      <c r="D136" s="48">
        <v>1311.0</v>
      </c>
    </row>
    <row r="137" ht="14.25" customHeight="1">
      <c r="A137" s="38" t="s">
        <v>118</v>
      </c>
      <c r="B137" s="38" t="s">
        <v>97</v>
      </c>
      <c r="C137" s="38" t="s">
        <v>124</v>
      </c>
      <c r="D137" s="48">
        <v>13109.0</v>
      </c>
    </row>
    <row r="138" ht="14.25" customHeight="1">
      <c r="A138" s="38" t="s">
        <v>118</v>
      </c>
      <c r="B138" s="38" t="s">
        <v>97</v>
      </c>
      <c r="C138" s="38" t="s">
        <v>125</v>
      </c>
      <c r="D138" s="48">
        <v>12235.0</v>
      </c>
    </row>
    <row r="139" ht="14.25" customHeight="1">
      <c r="A139" s="38" t="s">
        <v>118</v>
      </c>
      <c r="B139" s="38" t="s">
        <v>97</v>
      </c>
      <c r="C139" s="38" t="s">
        <v>126</v>
      </c>
      <c r="D139" s="48">
        <v>874.0</v>
      </c>
    </row>
    <row r="140" ht="14.25" customHeight="1">
      <c r="A140" s="38" t="s">
        <v>118</v>
      </c>
      <c r="B140" s="38" t="s">
        <v>97</v>
      </c>
      <c r="C140" s="38" t="s">
        <v>127</v>
      </c>
      <c r="D140" s="48">
        <v>437.0</v>
      </c>
    </row>
    <row r="141" ht="14.25" customHeight="1">
      <c r="A141" s="38" t="s">
        <v>118</v>
      </c>
      <c r="B141" s="38" t="s">
        <v>97</v>
      </c>
      <c r="C141" s="38" t="s">
        <v>128</v>
      </c>
      <c r="D141" s="48">
        <v>437.0</v>
      </c>
    </row>
    <row r="142" ht="14.25" customHeight="1">
      <c r="A142" s="38" t="s">
        <v>118</v>
      </c>
      <c r="B142" s="38" t="s">
        <v>97</v>
      </c>
      <c r="C142" s="38" t="s">
        <v>129</v>
      </c>
      <c r="D142" s="48">
        <v>0.0</v>
      </c>
    </row>
    <row r="143" ht="14.25" customHeight="1">
      <c r="A143" s="38" t="s">
        <v>118</v>
      </c>
      <c r="B143" s="38" t="s">
        <v>97</v>
      </c>
      <c r="C143" s="38" t="s">
        <v>130</v>
      </c>
      <c r="D143" s="48">
        <v>1311.0</v>
      </c>
    </row>
    <row r="144" ht="14.25" customHeight="1">
      <c r="A144" s="38" t="s">
        <v>118</v>
      </c>
      <c r="B144" s="38" t="s">
        <v>97</v>
      </c>
      <c r="C144" s="38" t="s">
        <v>131</v>
      </c>
      <c r="D144" s="48">
        <v>2185.0</v>
      </c>
    </row>
    <row r="145" ht="14.25" customHeight="1">
      <c r="A145" s="38" t="s">
        <v>118</v>
      </c>
      <c r="B145" s="38" t="s">
        <v>101</v>
      </c>
      <c r="C145" s="38" t="s">
        <v>119</v>
      </c>
      <c r="D145" s="48">
        <v>0.0</v>
      </c>
    </row>
    <row r="146" ht="14.25" customHeight="1">
      <c r="A146" s="38" t="s">
        <v>118</v>
      </c>
      <c r="B146" s="38" t="s">
        <v>101</v>
      </c>
      <c r="C146" s="38" t="s">
        <v>120</v>
      </c>
      <c r="D146" s="48">
        <v>0.0</v>
      </c>
    </row>
    <row r="147" ht="14.25" customHeight="1">
      <c r="A147" s="38" t="s">
        <v>118</v>
      </c>
      <c r="B147" s="38" t="s">
        <v>101</v>
      </c>
      <c r="C147" s="38" t="s">
        <v>121</v>
      </c>
      <c r="D147" s="48">
        <v>2210.0</v>
      </c>
    </row>
    <row r="148" ht="14.25" customHeight="1">
      <c r="A148" s="38" t="s">
        <v>118</v>
      </c>
      <c r="B148" s="38" t="s">
        <v>101</v>
      </c>
      <c r="C148" s="38" t="s">
        <v>122</v>
      </c>
      <c r="D148" s="48">
        <v>1768.0</v>
      </c>
    </row>
    <row r="149" ht="14.25" customHeight="1">
      <c r="A149" s="38" t="s">
        <v>118</v>
      </c>
      <c r="B149" s="38" t="s">
        <v>101</v>
      </c>
      <c r="C149" s="38" t="s">
        <v>123</v>
      </c>
      <c r="D149" s="48">
        <v>1326.0</v>
      </c>
    </row>
    <row r="150" ht="14.25" customHeight="1">
      <c r="A150" s="38" t="s">
        <v>118</v>
      </c>
      <c r="B150" s="38" t="s">
        <v>101</v>
      </c>
      <c r="C150" s="38" t="s">
        <v>124</v>
      </c>
      <c r="D150" s="48">
        <v>9723.0</v>
      </c>
    </row>
    <row r="151" ht="14.25" customHeight="1">
      <c r="A151" s="38" t="s">
        <v>118</v>
      </c>
      <c r="B151" s="38" t="s">
        <v>101</v>
      </c>
      <c r="C151" s="38" t="s">
        <v>125</v>
      </c>
      <c r="D151" s="48">
        <v>0.0</v>
      </c>
    </row>
    <row r="152" ht="14.25" customHeight="1">
      <c r="A152" s="38" t="s">
        <v>118</v>
      </c>
      <c r="B152" s="38" t="s">
        <v>101</v>
      </c>
      <c r="C152" s="38" t="s">
        <v>126</v>
      </c>
      <c r="D152" s="48">
        <v>884.0</v>
      </c>
    </row>
    <row r="153" ht="14.25" customHeight="1">
      <c r="A153" s="38" t="s">
        <v>118</v>
      </c>
      <c r="B153" s="38" t="s">
        <v>101</v>
      </c>
      <c r="C153" s="38" t="s">
        <v>127</v>
      </c>
      <c r="D153" s="48">
        <v>11049.0</v>
      </c>
    </row>
    <row r="154" ht="14.25" customHeight="1">
      <c r="A154" s="38" t="s">
        <v>118</v>
      </c>
      <c r="B154" s="38" t="s">
        <v>101</v>
      </c>
      <c r="C154" s="38" t="s">
        <v>128</v>
      </c>
      <c r="D154" s="48">
        <v>884.0</v>
      </c>
    </row>
    <row r="155" ht="14.25" customHeight="1">
      <c r="A155" s="38" t="s">
        <v>118</v>
      </c>
      <c r="B155" s="38" t="s">
        <v>101</v>
      </c>
      <c r="C155" s="38" t="s">
        <v>129</v>
      </c>
      <c r="D155" s="48">
        <v>13259.0</v>
      </c>
    </row>
    <row r="156" ht="14.25" customHeight="1">
      <c r="A156" s="38" t="s">
        <v>118</v>
      </c>
      <c r="B156" s="38" t="s">
        <v>101</v>
      </c>
      <c r="C156" s="38" t="s">
        <v>130</v>
      </c>
      <c r="D156" s="48">
        <v>884.0</v>
      </c>
    </row>
    <row r="157" ht="14.25" customHeight="1">
      <c r="A157" s="38" t="s">
        <v>118</v>
      </c>
      <c r="B157" s="38" t="s">
        <v>101</v>
      </c>
      <c r="C157" s="38" t="s">
        <v>131</v>
      </c>
      <c r="D157" s="48">
        <v>2210.0</v>
      </c>
    </row>
    <row r="158" ht="14.25" customHeight="1">
      <c r="A158" s="38" t="s">
        <v>118</v>
      </c>
      <c r="B158" s="38" t="s">
        <v>102</v>
      </c>
      <c r="C158" s="38" t="s">
        <v>119</v>
      </c>
      <c r="D158" s="48">
        <v>0.0</v>
      </c>
    </row>
    <row r="159" ht="14.25" customHeight="1">
      <c r="A159" s="38" t="s">
        <v>118</v>
      </c>
      <c r="B159" s="38" t="s">
        <v>102</v>
      </c>
      <c r="C159" s="38" t="s">
        <v>120</v>
      </c>
      <c r="D159" s="48">
        <v>0.0</v>
      </c>
    </row>
    <row r="160" ht="14.25" customHeight="1">
      <c r="A160" s="38" t="s">
        <v>118</v>
      </c>
      <c r="B160" s="38" t="s">
        <v>102</v>
      </c>
      <c r="C160" s="38" t="s">
        <v>121</v>
      </c>
      <c r="D160" s="48">
        <v>0.0</v>
      </c>
    </row>
    <row r="161" ht="14.25" customHeight="1">
      <c r="A161" s="38" t="s">
        <v>118</v>
      </c>
      <c r="B161" s="38" t="s">
        <v>102</v>
      </c>
      <c r="C161" s="38" t="s">
        <v>122</v>
      </c>
      <c r="D161" s="48">
        <v>4598.0</v>
      </c>
    </row>
    <row r="162" ht="14.25" customHeight="1">
      <c r="A162" s="38" t="s">
        <v>118</v>
      </c>
      <c r="B162" s="38" t="s">
        <v>102</v>
      </c>
      <c r="C162" s="38" t="s">
        <v>123</v>
      </c>
      <c r="D162" s="48">
        <v>6687.0</v>
      </c>
    </row>
    <row r="163" ht="14.25" customHeight="1">
      <c r="A163" s="38" t="s">
        <v>118</v>
      </c>
      <c r="B163" s="38" t="s">
        <v>102</v>
      </c>
      <c r="C163" s="38" t="s">
        <v>124</v>
      </c>
      <c r="D163" s="48">
        <v>0.0</v>
      </c>
    </row>
    <row r="164" ht="14.25" customHeight="1">
      <c r="A164" s="38" t="s">
        <v>118</v>
      </c>
      <c r="B164" s="38" t="s">
        <v>102</v>
      </c>
      <c r="C164" s="38" t="s">
        <v>125</v>
      </c>
      <c r="D164" s="48">
        <v>2508.0</v>
      </c>
    </row>
    <row r="165" ht="14.25" customHeight="1">
      <c r="A165" s="38" t="s">
        <v>118</v>
      </c>
      <c r="B165" s="38" t="s">
        <v>102</v>
      </c>
      <c r="C165" s="38" t="s">
        <v>131</v>
      </c>
      <c r="D165" s="48">
        <v>7105.0</v>
      </c>
    </row>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2024-07-05T11:52:13Z</dcterms:created>
  <dc:creator>hp</dc:creator>
</cp:coreProperties>
</file>