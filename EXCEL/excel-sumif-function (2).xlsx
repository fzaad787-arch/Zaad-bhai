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5e7180bd57eae37/Documents/"/>
    </mc:Choice>
  </mc:AlternateContent>
  <xr:revisionPtr revIDLastSave="67" documentId="13_ncr:1_{B69C1E51-409F-46D8-9878-2F653FECDE25}" xr6:coauthVersionLast="47" xr6:coauthVersionMax="47" xr10:uidLastSave="{8E647B39-2071-41FA-8DA2-431D2DB10DA1}"/>
  <bookViews>
    <workbookView xWindow="-108" yWindow="-108" windowWidth="23256" windowHeight="13896" firstSheet="3" activeTab="7" xr2:uid="{5BF0C3DB-2A5F-43CE-926C-4AF1BB4BC169}"/>
  </bookViews>
  <sheets>
    <sheet name="Basic formula" sheetId="27" r:id="rId1"/>
    <sheet name="SUMIF greater than" sheetId="16" r:id="rId2"/>
    <sheet name="SUMIF equal to" sheetId="20" r:id="rId3"/>
    <sheet name="SUMIF not equal to" sheetId="19" r:id="rId4"/>
    <sheet name="SUMIF not blank" sheetId="25" r:id="rId5"/>
    <sheet name="SUMIF blank" sheetId="28" r:id="rId6"/>
    <sheet name="SUMIF wildcards" sheetId="21" r:id="rId7"/>
    <sheet name="SUMIF with dates" sheetId="17" r:id="rId8"/>
    <sheet name="Sheet1" sheetId="2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" i="17" l="1"/>
  <c r="O4" i="27"/>
  <c r="F2" i="17"/>
  <c r="F2" i="28"/>
  <c r="F2" i="25"/>
  <c r="F6" i="19"/>
  <c r="F2" i="19"/>
  <c r="F6" i="20"/>
  <c r="F2" i="20"/>
  <c r="F6" i="16"/>
  <c r="F2" i="16"/>
  <c r="I5" i="27"/>
  <c r="I3" i="27"/>
</calcChain>
</file>

<file path=xl/sharedStrings.xml><?xml version="1.0" encoding="utf-8"?>
<sst xmlns="http://schemas.openxmlformats.org/spreadsheetml/2006/main" count="175" uniqueCount="32">
  <si>
    <t xml:space="preserve"> </t>
  </si>
  <si>
    <t>Region</t>
  </si>
  <si>
    <t>Item</t>
  </si>
  <si>
    <t>Sales</t>
  </si>
  <si>
    <t>East</t>
  </si>
  <si>
    <t>Apples</t>
  </si>
  <si>
    <t>Grapes</t>
  </si>
  <si>
    <t>Lemons</t>
  </si>
  <si>
    <t>North</t>
  </si>
  <si>
    <t>South</t>
  </si>
  <si>
    <t>West</t>
  </si>
  <si>
    <t>Ships in (days)</t>
  </si>
  <si>
    <t>Total</t>
  </si>
  <si>
    <t>Ships not in</t>
  </si>
  <si>
    <t>Item is not</t>
  </si>
  <si>
    <t>South-East</t>
  </si>
  <si>
    <t>North-West</t>
  </si>
  <si>
    <t>North-East</t>
  </si>
  <si>
    <t>South-West</t>
  </si>
  <si>
    <t>West*</t>
  </si>
  <si>
    <t>East*</t>
  </si>
  <si>
    <t>*</t>
  </si>
  <si>
    <t>undefined</t>
  </si>
  <si>
    <t>Delivery</t>
  </si>
  <si>
    <t>Delivered before</t>
  </si>
  <si>
    <t>Date range</t>
  </si>
  <si>
    <t>Ships in</t>
  </si>
  <si>
    <t>defined</t>
  </si>
  <si>
    <t>Ships in more than</t>
  </si>
  <si>
    <t>Ships in less than</t>
  </si>
  <si>
    <t>Conditional Total (Add - Using SUMIF)</t>
  </si>
  <si>
    <t>SUMIFS Multiple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</si>
</sst>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&quot;$&quot;#,##0"/>
  </numFmts>
  <fonts count="5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/>
      <right/>
      <top style="thin">
        <color theme="2" tint="-0.499984740745262"/>
      </top>
      <bottom/>
      <diagonal/>
    </border>
    <border>
      <left/>
      <right/>
      <top/>
      <bottom style="thin">
        <color theme="2" tint="-0.499984740745262"/>
      </bottom>
      <diagonal/>
    </border>
  </borders>
  <cellStyleXfs count="4">
    <xf numFmtId="0" fontId="0" fillId="0" borderId="0"/>
    <xf numFmtId="0" fontId="2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165" fontId="0" fillId="0" borderId="0" xfId="0" applyNumberFormat="1"/>
    <xf numFmtId="0" fontId="4" fillId="2" borderId="0" xfId="0" applyFont="1" applyFill="1"/>
    <xf numFmtId="0" fontId="0" fillId="0" borderId="2" xfId="0" applyBorder="1"/>
    <xf numFmtId="0" fontId="4" fillId="0" borderId="1" xfId="0" applyFont="1" applyBorder="1"/>
    <xf numFmtId="0" fontId="4" fillId="0" borderId="3" xfId="0" applyFont="1" applyBorder="1"/>
    <xf numFmtId="165" fontId="0" fillId="0" borderId="4" xfId="0" applyNumberFormat="1" applyBorder="1"/>
    <xf numFmtId="0" fontId="0" fillId="0" borderId="1" xfId="0" applyBorder="1"/>
    <xf numFmtId="0" fontId="0" fillId="0" borderId="3" xfId="0" applyBorder="1"/>
    <xf numFmtId="164" fontId="0" fillId="0" borderId="0" xfId="0" applyNumberFormat="1"/>
    <xf numFmtId="164" fontId="0" fillId="0" borderId="2" xfId="0" applyNumberFormat="1" applyBorder="1"/>
    <xf numFmtId="164" fontId="0" fillId="0" borderId="5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0" fontId="0" fillId="3" borderId="0" xfId="0" applyFill="1"/>
    <xf numFmtId="0" fontId="4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">
    <cellStyle name="Hyperlink 2" xfId="3" xr:uid="{D5253FEC-1942-47A6-9261-B618439B3911}"/>
    <cellStyle name="Hyperlink 3" xfId="2" xr:uid="{6A879F67-56FF-42FF-AF8E-82650815FD47}"/>
    <cellStyle name="Normal" xfId="0" builtinId="0"/>
    <cellStyle name="Normal 3" xfId="1" xr:uid="{51348BEA-D306-4353-BEFE-C6BA1C50A327}"/>
  </cellStyles>
  <dxfs count="0"/>
  <tableStyles count="0" defaultTableStyle="TableStyleMedium2" defaultPivotStyle="PivotStyleLight16"/>
  <colors>
    <mruColors>
      <color rgb="FFF5F5F5"/>
      <color rgb="FF0095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FF8F9-6049-406C-82C7-A39B8B4C3639}">
  <dimension ref="A1:O16"/>
  <sheetViews>
    <sheetView workbookViewId="0">
      <selection activeCell="Q3" sqref="Q3"/>
    </sheetView>
  </sheetViews>
  <sheetFormatPr defaultRowHeight="14.4" x14ac:dyDescent="0.3"/>
  <sheetData>
    <row r="1" spans="1:15" x14ac:dyDescent="0.3">
      <c r="A1" s="2" t="s">
        <v>2</v>
      </c>
      <c r="B1" s="2" t="s">
        <v>1</v>
      </c>
      <c r="C1" s="2" t="s">
        <v>3</v>
      </c>
      <c r="H1" s="15" t="s">
        <v>30</v>
      </c>
      <c r="I1" s="15"/>
      <c r="J1" s="15"/>
      <c r="K1" s="15"/>
      <c r="N1" t="s">
        <v>31</v>
      </c>
    </row>
    <row r="2" spans="1:15" x14ac:dyDescent="0.3">
      <c r="A2" t="s">
        <v>6</v>
      </c>
      <c r="B2" t="s">
        <v>8</v>
      </c>
      <c r="C2" s="1">
        <v>250</v>
      </c>
      <c r="H2" s="16" t="s">
        <v>1</v>
      </c>
      <c r="I2" s="17" t="s">
        <v>8</v>
      </c>
      <c r="N2" t="s">
        <v>2</v>
      </c>
      <c r="O2" t="s">
        <v>5</v>
      </c>
    </row>
    <row r="3" spans="1:15" x14ac:dyDescent="0.3">
      <c r="A3" t="s">
        <v>5</v>
      </c>
      <c r="B3" t="s">
        <v>9</v>
      </c>
      <c r="C3" s="1">
        <v>155</v>
      </c>
      <c r="H3" s="18" t="s">
        <v>3</v>
      </c>
      <c r="I3" s="19">
        <f>SUMIF(B2:B10,I2,C2:C10)</f>
        <v>665</v>
      </c>
      <c r="N3" t="s">
        <v>1</v>
      </c>
      <c r="O3" t="s">
        <v>9</v>
      </c>
    </row>
    <row r="4" spans="1:15" x14ac:dyDescent="0.3">
      <c r="A4" t="s">
        <v>6</v>
      </c>
      <c r="B4" t="s">
        <v>10</v>
      </c>
      <c r="C4" s="1">
        <v>130</v>
      </c>
      <c r="H4" s="16" t="s">
        <v>1</v>
      </c>
      <c r="I4" s="20" t="s">
        <v>9</v>
      </c>
      <c r="N4" t="s">
        <v>12</v>
      </c>
      <c r="O4">
        <f>SUMIFS(C2:C10,A2:A10,O2,B2:B10,O3)</f>
        <v>155</v>
      </c>
    </row>
    <row r="5" spans="1:15" x14ac:dyDescent="0.3">
      <c r="A5" t="s">
        <v>7</v>
      </c>
      <c r="B5" t="s">
        <v>8</v>
      </c>
      <c r="C5" s="1">
        <v>255</v>
      </c>
      <c r="H5" s="18" t="s">
        <v>3</v>
      </c>
      <c r="I5" s="20">
        <f>SUMIF(B2:B10,"South",C2:C10)</f>
        <v>435</v>
      </c>
    </row>
    <row r="6" spans="1:15" x14ac:dyDescent="0.3">
      <c r="A6" t="s">
        <v>5</v>
      </c>
      <c r="B6" t="s">
        <v>8</v>
      </c>
      <c r="C6" s="1">
        <v>160</v>
      </c>
    </row>
    <row r="7" spans="1:15" x14ac:dyDescent="0.3">
      <c r="A7" t="s">
        <v>6</v>
      </c>
      <c r="B7" t="s">
        <v>9</v>
      </c>
      <c r="C7" s="1">
        <v>280</v>
      </c>
      <c r="H7" s="4" t="s">
        <v>1</v>
      </c>
      <c r="I7" s="3" t="s">
        <v>8</v>
      </c>
    </row>
    <row r="8" spans="1:15" x14ac:dyDescent="0.3">
      <c r="A8" t="s">
        <v>7</v>
      </c>
      <c r="B8" t="s">
        <v>4</v>
      </c>
      <c r="C8" s="1">
        <v>170</v>
      </c>
      <c r="H8" s="5" t="s">
        <v>3</v>
      </c>
      <c r="I8" s="6"/>
    </row>
    <row r="9" spans="1:15" x14ac:dyDescent="0.3">
      <c r="A9" t="s">
        <v>5</v>
      </c>
      <c r="B9" t="s">
        <v>4</v>
      </c>
      <c r="C9" s="1">
        <v>285</v>
      </c>
    </row>
    <row r="10" spans="1:15" x14ac:dyDescent="0.3">
      <c r="A10" t="s">
        <v>5</v>
      </c>
      <c r="B10" t="s">
        <v>10</v>
      </c>
      <c r="C10" s="1">
        <v>110</v>
      </c>
    </row>
    <row r="11" spans="1:15" x14ac:dyDescent="0.3">
      <c r="C11" s="1"/>
    </row>
    <row r="12" spans="1:15" x14ac:dyDescent="0.3">
      <c r="C12" s="1"/>
    </row>
    <row r="13" spans="1:15" x14ac:dyDescent="0.3">
      <c r="C13" s="1"/>
    </row>
    <row r="14" spans="1:15" x14ac:dyDescent="0.3">
      <c r="C14" s="1"/>
    </row>
    <row r="15" spans="1:15" x14ac:dyDescent="0.3">
      <c r="C15" s="1"/>
    </row>
    <row r="16" spans="1:15" x14ac:dyDescent="0.3">
      <c r="C16" s="1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4AC77-CF5F-4F41-AACE-1375F3876400}">
  <dimension ref="A1:J16"/>
  <sheetViews>
    <sheetView workbookViewId="0">
      <selection activeCell="F2" sqref="F2"/>
    </sheetView>
  </sheetViews>
  <sheetFormatPr defaultRowHeight="14.4" x14ac:dyDescent="0.3"/>
  <cols>
    <col min="3" max="3" width="13.77734375" bestFit="1" customWidth="1"/>
    <col min="5" max="5" width="18.5546875" bestFit="1" customWidth="1"/>
  </cols>
  <sheetData>
    <row r="1" spans="1:10" x14ac:dyDescent="0.3">
      <c r="A1" s="2" t="s">
        <v>2</v>
      </c>
      <c r="B1" s="2" t="s">
        <v>3</v>
      </c>
      <c r="C1" s="2" t="s">
        <v>11</v>
      </c>
      <c r="E1" s="7" t="s">
        <v>28</v>
      </c>
      <c r="F1" s="3">
        <v>3</v>
      </c>
    </row>
    <row r="2" spans="1:10" x14ac:dyDescent="0.3">
      <c r="A2" t="s">
        <v>6</v>
      </c>
      <c r="B2" s="1">
        <v>250</v>
      </c>
      <c r="C2">
        <v>1</v>
      </c>
      <c r="E2" s="8" t="s">
        <v>12</v>
      </c>
      <c r="F2" s="6">
        <f>SUMIF(C2:C10,"&gt;="&amp;F1,B2:B10)</f>
        <v>1375</v>
      </c>
    </row>
    <row r="3" spans="1:10" x14ac:dyDescent="0.3">
      <c r="A3" t="s">
        <v>5</v>
      </c>
      <c r="B3" s="1">
        <v>155</v>
      </c>
      <c r="C3">
        <v>3</v>
      </c>
      <c r="J3" s="1"/>
    </row>
    <row r="4" spans="1:10" x14ac:dyDescent="0.3">
      <c r="A4" t="s">
        <v>6</v>
      </c>
      <c r="B4" s="1">
        <v>130</v>
      </c>
      <c r="C4">
        <v>5</v>
      </c>
    </row>
    <row r="5" spans="1:10" x14ac:dyDescent="0.3">
      <c r="A5" t="s">
        <v>7</v>
      </c>
      <c r="B5" s="1">
        <v>255</v>
      </c>
      <c r="C5">
        <v>7</v>
      </c>
      <c r="E5" s="7" t="s">
        <v>29</v>
      </c>
      <c r="F5" s="3">
        <v>3</v>
      </c>
    </row>
    <row r="6" spans="1:10" x14ac:dyDescent="0.3">
      <c r="A6" t="s">
        <v>5</v>
      </c>
      <c r="B6" s="1">
        <v>160</v>
      </c>
      <c r="C6">
        <v>3</v>
      </c>
      <c r="E6" s="8" t="s">
        <v>12</v>
      </c>
      <c r="F6" s="6">
        <f>SUMIF(C2:C10,"&lt;="&amp;F5,B2:B10)</f>
        <v>1020</v>
      </c>
    </row>
    <row r="7" spans="1:10" x14ac:dyDescent="0.3">
      <c r="A7" t="s">
        <v>6</v>
      </c>
      <c r="B7" s="1">
        <v>280</v>
      </c>
      <c r="C7">
        <v>5</v>
      </c>
    </row>
    <row r="8" spans="1:10" x14ac:dyDescent="0.3">
      <c r="A8" t="s">
        <v>7</v>
      </c>
      <c r="B8" s="1">
        <v>170</v>
      </c>
      <c r="C8">
        <v>1</v>
      </c>
    </row>
    <row r="9" spans="1:10" x14ac:dyDescent="0.3">
      <c r="A9" t="s">
        <v>5</v>
      </c>
      <c r="B9" s="1">
        <v>285</v>
      </c>
      <c r="C9">
        <v>3</v>
      </c>
    </row>
    <row r="10" spans="1:10" x14ac:dyDescent="0.3">
      <c r="A10" t="s">
        <v>5</v>
      </c>
      <c r="B10" s="1">
        <v>110</v>
      </c>
      <c r="C10">
        <v>4</v>
      </c>
    </row>
    <row r="11" spans="1:10" x14ac:dyDescent="0.3">
      <c r="B11" s="1"/>
      <c r="C11" s="1"/>
    </row>
    <row r="12" spans="1:10" x14ac:dyDescent="0.3">
      <c r="B12" s="1"/>
      <c r="C12" s="1"/>
    </row>
    <row r="13" spans="1:10" x14ac:dyDescent="0.3">
      <c r="B13" s="1"/>
      <c r="C13" s="1"/>
    </row>
    <row r="14" spans="1:10" x14ac:dyDescent="0.3">
      <c r="B14" s="1"/>
      <c r="C14" s="1"/>
    </row>
    <row r="15" spans="1:10" x14ac:dyDescent="0.3">
      <c r="B15" s="1"/>
      <c r="C15" s="1"/>
    </row>
    <row r="16" spans="1:10" x14ac:dyDescent="0.3">
      <c r="B16" s="1"/>
      <c r="C16" s="1"/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0396B-00DB-474B-B4DE-811D3C1F2DB2}">
  <dimension ref="A1:F16"/>
  <sheetViews>
    <sheetView workbookViewId="0">
      <selection activeCell="E1" sqref="E1"/>
    </sheetView>
  </sheetViews>
  <sheetFormatPr defaultRowHeight="14.4" x14ac:dyDescent="0.3"/>
  <cols>
    <col min="3" max="3" width="13.77734375" bestFit="1" customWidth="1"/>
    <col min="5" max="5" width="10.44140625" bestFit="1" customWidth="1"/>
  </cols>
  <sheetData>
    <row r="1" spans="1:6" x14ac:dyDescent="0.3">
      <c r="A1" s="2" t="s">
        <v>2</v>
      </c>
      <c r="B1" s="2" t="s">
        <v>3</v>
      </c>
      <c r="C1" s="2" t="s">
        <v>11</v>
      </c>
      <c r="E1" s="7" t="s">
        <v>2</v>
      </c>
      <c r="F1" s="3" t="s">
        <v>5</v>
      </c>
    </row>
    <row r="2" spans="1:6" x14ac:dyDescent="0.3">
      <c r="A2" t="s">
        <v>6</v>
      </c>
      <c r="B2" s="1">
        <v>250</v>
      </c>
      <c r="C2">
        <v>1</v>
      </c>
      <c r="E2" s="8" t="s">
        <v>12</v>
      </c>
      <c r="F2" s="6">
        <f>SUMIF(A2:A10,F1,B2:B10)</f>
        <v>710</v>
      </c>
    </row>
    <row r="3" spans="1:6" x14ac:dyDescent="0.3">
      <c r="A3" t="s">
        <v>5</v>
      </c>
      <c r="B3" s="1">
        <v>155</v>
      </c>
      <c r="C3">
        <v>3</v>
      </c>
      <c r="F3" s="1"/>
    </row>
    <row r="4" spans="1:6" x14ac:dyDescent="0.3">
      <c r="A4" t="s">
        <v>6</v>
      </c>
      <c r="B4" s="1">
        <v>130</v>
      </c>
      <c r="C4">
        <v>5</v>
      </c>
    </row>
    <row r="5" spans="1:6" x14ac:dyDescent="0.3">
      <c r="A5" t="s">
        <v>7</v>
      </c>
      <c r="B5" s="1">
        <v>255</v>
      </c>
      <c r="C5">
        <v>7</v>
      </c>
      <c r="E5" s="7" t="s">
        <v>26</v>
      </c>
      <c r="F5" s="3">
        <v>3</v>
      </c>
    </row>
    <row r="6" spans="1:6" x14ac:dyDescent="0.3">
      <c r="A6" t="s">
        <v>5</v>
      </c>
      <c r="B6" s="1">
        <v>160</v>
      </c>
      <c r="C6">
        <v>3</v>
      </c>
      <c r="E6" s="8" t="s">
        <v>12</v>
      </c>
      <c r="F6" s="6">
        <f>SUMIF(C2:C10,F5,B2:B10)</f>
        <v>600</v>
      </c>
    </row>
    <row r="7" spans="1:6" x14ac:dyDescent="0.3">
      <c r="A7" t="s">
        <v>6</v>
      </c>
      <c r="B7" s="1">
        <v>280</v>
      </c>
      <c r="C7">
        <v>5</v>
      </c>
    </row>
    <row r="8" spans="1:6" x14ac:dyDescent="0.3">
      <c r="A8" t="s">
        <v>7</v>
      </c>
      <c r="B8" s="1">
        <v>170</v>
      </c>
      <c r="C8">
        <v>1</v>
      </c>
    </row>
    <row r="9" spans="1:6" x14ac:dyDescent="0.3">
      <c r="A9" t="s">
        <v>5</v>
      </c>
      <c r="B9" s="1">
        <v>285</v>
      </c>
      <c r="C9">
        <v>3</v>
      </c>
    </row>
    <row r="10" spans="1:6" x14ac:dyDescent="0.3">
      <c r="A10" t="s">
        <v>5</v>
      </c>
      <c r="B10" s="1">
        <v>110</v>
      </c>
      <c r="C10">
        <v>4</v>
      </c>
    </row>
    <row r="11" spans="1:6" x14ac:dyDescent="0.3">
      <c r="B11" s="1"/>
    </row>
    <row r="12" spans="1:6" x14ac:dyDescent="0.3">
      <c r="B12" s="1"/>
    </row>
    <row r="13" spans="1:6" x14ac:dyDescent="0.3">
      <c r="B13" s="1"/>
    </row>
    <row r="14" spans="1:6" x14ac:dyDescent="0.3">
      <c r="B14" s="1"/>
    </row>
    <row r="15" spans="1:6" x14ac:dyDescent="0.3">
      <c r="B15" s="1"/>
    </row>
    <row r="16" spans="1:6" x14ac:dyDescent="0.3">
      <c r="B16" s="1"/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0B838-252B-47A4-9451-597D4583B9D4}">
  <dimension ref="A1:I19"/>
  <sheetViews>
    <sheetView workbookViewId="0">
      <selection activeCell="F6" sqref="F6"/>
    </sheetView>
  </sheetViews>
  <sheetFormatPr defaultRowHeight="14.4" x14ac:dyDescent="0.3"/>
  <cols>
    <col min="3" max="3" width="13.77734375" customWidth="1"/>
    <col min="4" max="4" width="9.21875" customWidth="1"/>
    <col min="5" max="5" width="11.77734375" customWidth="1"/>
  </cols>
  <sheetData>
    <row r="1" spans="1:9" x14ac:dyDescent="0.3">
      <c r="A1" s="2" t="s">
        <v>2</v>
      </c>
      <c r="B1" s="2" t="s">
        <v>3</v>
      </c>
      <c r="C1" s="2" t="s">
        <v>11</v>
      </c>
      <c r="E1" s="7" t="s">
        <v>14</v>
      </c>
      <c r="F1" s="3" t="s">
        <v>5</v>
      </c>
    </row>
    <row r="2" spans="1:9" x14ac:dyDescent="0.3">
      <c r="A2" t="s">
        <v>6</v>
      </c>
      <c r="B2" s="1">
        <v>250</v>
      </c>
      <c r="C2">
        <v>1</v>
      </c>
      <c r="E2" s="8" t="s">
        <v>12</v>
      </c>
      <c r="F2" s="6">
        <f>SUMIF(A2:A10,"&lt;&gt;"&amp;F1,B2:B10)</f>
        <v>1085</v>
      </c>
    </row>
    <row r="3" spans="1:9" x14ac:dyDescent="0.3">
      <c r="A3" t="s">
        <v>5</v>
      </c>
      <c r="B3" s="1">
        <v>155</v>
      </c>
      <c r="C3">
        <v>3</v>
      </c>
      <c r="F3" s="1"/>
      <c r="I3" s="1"/>
    </row>
    <row r="4" spans="1:9" x14ac:dyDescent="0.3">
      <c r="A4" t="s">
        <v>6</v>
      </c>
      <c r="B4" s="1">
        <v>130</v>
      </c>
      <c r="C4">
        <v>5</v>
      </c>
    </row>
    <row r="5" spans="1:9" x14ac:dyDescent="0.3">
      <c r="A5" t="s">
        <v>7</v>
      </c>
      <c r="B5" s="1">
        <v>255</v>
      </c>
      <c r="C5">
        <v>7</v>
      </c>
      <c r="E5" s="7" t="s">
        <v>13</v>
      </c>
      <c r="F5" s="3">
        <v>3</v>
      </c>
    </row>
    <row r="6" spans="1:9" x14ac:dyDescent="0.3">
      <c r="A6" t="s">
        <v>5</v>
      </c>
      <c r="B6" s="1">
        <v>160</v>
      </c>
      <c r="C6">
        <v>3</v>
      </c>
      <c r="E6" s="8" t="s">
        <v>12</v>
      </c>
      <c r="F6" s="6">
        <f>SUMIF(A2:A10,"&lt;&gt;"&amp;F5,B2:B10)</f>
        <v>1795</v>
      </c>
    </row>
    <row r="7" spans="1:9" x14ac:dyDescent="0.3">
      <c r="A7" t="s">
        <v>6</v>
      </c>
      <c r="B7" s="1">
        <v>280</v>
      </c>
      <c r="C7">
        <v>5</v>
      </c>
      <c r="F7" s="1"/>
    </row>
    <row r="8" spans="1:9" x14ac:dyDescent="0.3">
      <c r="A8" t="s">
        <v>7</v>
      </c>
      <c r="B8" s="1">
        <v>170</v>
      </c>
      <c r="C8">
        <v>1</v>
      </c>
    </row>
    <row r="9" spans="1:9" x14ac:dyDescent="0.3">
      <c r="A9" t="s">
        <v>5</v>
      </c>
      <c r="B9" s="1">
        <v>285</v>
      </c>
      <c r="C9">
        <v>3</v>
      </c>
    </row>
    <row r="10" spans="1:9" x14ac:dyDescent="0.3">
      <c r="A10" t="s">
        <v>5</v>
      </c>
      <c r="B10" s="1">
        <v>110</v>
      </c>
      <c r="C10">
        <v>4</v>
      </c>
    </row>
    <row r="11" spans="1:9" x14ac:dyDescent="0.3">
      <c r="B11" s="1"/>
      <c r="C11" s="1"/>
      <c r="D11" s="1"/>
    </row>
    <row r="12" spans="1:9" x14ac:dyDescent="0.3">
      <c r="B12" s="1"/>
      <c r="C12" s="1"/>
    </row>
    <row r="13" spans="1:9" x14ac:dyDescent="0.3">
      <c r="B13" s="1"/>
      <c r="C13" s="1"/>
    </row>
    <row r="14" spans="1:9" x14ac:dyDescent="0.3">
      <c r="B14" s="1"/>
      <c r="C14" s="1"/>
    </row>
    <row r="15" spans="1:9" x14ac:dyDescent="0.3">
      <c r="B15" s="1"/>
      <c r="C15" s="1"/>
    </row>
    <row r="16" spans="1:9" x14ac:dyDescent="0.3">
      <c r="B16" s="1"/>
      <c r="C16" s="1"/>
    </row>
    <row r="19" spans="9:9" x14ac:dyDescent="0.3">
      <c r="I19" t="s">
        <v>0</v>
      </c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64E87-42E1-47F4-ADCA-7E5272E23FC3}">
  <dimension ref="A1:G16"/>
  <sheetViews>
    <sheetView workbookViewId="0">
      <selection activeCell="F2" sqref="F2"/>
    </sheetView>
  </sheetViews>
  <sheetFormatPr defaultRowHeight="14.4" x14ac:dyDescent="0.3"/>
  <cols>
    <col min="2" max="2" width="14.21875" bestFit="1" customWidth="1"/>
    <col min="6" max="6" width="12" customWidth="1"/>
  </cols>
  <sheetData>
    <row r="1" spans="1:7" x14ac:dyDescent="0.3">
      <c r="A1" s="2" t="s">
        <v>2</v>
      </c>
      <c r="B1" s="2" t="s">
        <v>1</v>
      </c>
      <c r="C1" s="2" t="s">
        <v>3</v>
      </c>
      <c r="E1" s="4" t="s">
        <v>1</v>
      </c>
      <c r="F1" s="3" t="s">
        <v>27</v>
      </c>
    </row>
    <row r="2" spans="1:7" x14ac:dyDescent="0.3">
      <c r="A2" t="s">
        <v>6</v>
      </c>
      <c r="B2" t="s">
        <v>16</v>
      </c>
      <c r="C2" s="1">
        <v>250</v>
      </c>
      <c r="E2" s="5" t="s">
        <v>3</v>
      </c>
      <c r="F2" s="6">
        <f>SUMIF(B2:B10,"&lt;&gt;",C2:C10)</f>
        <v>1495</v>
      </c>
    </row>
    <row r="3" spans="1:7" x14ac:dyDescent="0.3">
      <c r="A3" t="s">
        <v>5</v>
      </c>
      <c r="B3" t="s">
        <v>9</v>
      </c>
      <c r="C3" s="1">
        <v>155</v>
      </c>
    </row>
    <row r="4" spans="1:7" x14ac:dyDescent="0.3">
      <c r="A4" t="s">
        <v>6</v>
      </c>
      <c r="C4" s="1">
        <v>130</v>
      </c>
    </row>
    <row r="5" spans="1:7" x14ac:dyDescent="0.3">
      <c r="A5" t="s">
        <v>7</v>
      </c>
      <c r="B5" t="s">
        <v>17</v>
      </c>
      <c r="C5" s="1">
        <v>255</v>
      </c>
      <c r="G5" s="1"/>
    </row>
    <row r="6" spans="1:7" x14ac:dyDescent="0.3">
      <c r="A6" t="s">
        <v>5</v>
      </c>
      <c r="B6" t="s">
        <v>8</v>
      </c>
      <c r="C6" s="1">
        <v>160</v>
      </c>
    </row>
    <row r="7" spans="1:7" x14ac:dyDescent="0.3">
      <c r="A7" t="s">
        <v>6</v>
      </c>
      <c r="B7" t="s">
        <v>18</v>
      </c>
      <c r="C7" s="1">
        <v>280</v>
      </c>
    </row>
    <row r="8" spans="1:7" x14ac:dyDescent="0.3">
      <c r="A8" t="s">
        <v>7</v>
      </c>
      <c r="C8" s="1">
        <v>170</v>
      </c>
    </row>
    <row r="9" spans="1:7" x14ac:dyDescent="0.3">
      <c r="A9" t="s">
        <v>5</v>
      </c>
      <c r="B9" t="s">
        <v>15</v>
      </c>
      <c r="C9" s="1">
        <v>285</v>
      </c>
    </row>
    <row r="10" spans="1:7" x14ac:dyDescent="0.3">
      <c r="A10" t="s">
        <v>5</v>
      </c>
      <c r="B10" t="s">
        <v>16</v>
      </c>
      <c r="C10" s="1">
        <v>110</v>
      </c>
    </row>
    <row r="11" spans="1:7" x14ac:dyDescent="0.3">
      <c r="C11" s="1"/>
    </row>
    <row r="12" spans="1:7" x14ac:dyDescent="0.3">
      <c r="C12" s="1"/>
    </row>
    <row r="13" spans="1:7" x14ac:dyDescent="0.3">
      <c r="C13" s="1"/>
    </row>
    <row r="14" spans="1:7" x14ac:dyDescent="0.3">
      <c r="C14" s="1"/>
    </row>
    <row r="15" spans="1:7" x14ac:dyDescent="0.3">
      <c r="C15" s="1"/>
    </row>
    <row r="16" spans="1:7" x14ac:dyDescent="0.3">
      <c r="C16" s="1"/>
    </row>
  </sheetData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EBA07-50AF-4348-8B03-272193C57DA7}">
  <dimension ref="A1:G16"/>
  <sheetViews>
    <sheetView workbookViewId="0">
      <selection activeCell="F2" sqref="F2"/>
    </sheetView>
  </sheetViews>
  <sheetFormatPr defaultRowHeight="14.4" x14ac:dyDescent="0.3"/>
  <cols>
    <col min="2" max="2" width="14.21875" bestFit="1" customWidth="1"/>
    <col min="6" max="6" width="12" customWidth="1"/>
  </cols>
  <sheetData>
    <row r="1" spans="1:7" x14ac:dyDescent="0.3">
      <c r="A1" s="2" t="s">
        <v>2</v>
      </c>
      <c r="B1" s="2" t="s">
        <v>1</v>
      </c>
      <c r="C1" s="2" t="s">
        <v>3</v>
      </c>
      <c r="E1" s="4" t="s">
        <v>1</v>
      </c>
      <c r="F1" s="3" t="s">
        <v>22</v>
      </c>
    </row>
    <row r="2" spans="1:7" x14ac:dyDescent="0.3">
      <c r="A2" t="s">
        <v>6</v>
      </c>
      <c r="B2" t="s">
        <v>16</v>
      </c>
      <c r="C2" s="1">
        <v>250</v>
      </c>
      <c r="E2" s="5" t="s">
        <v>3</v>
      </c>
      <c r="F2" s="6">
        <f>SUMIF(B2:B10,"",C2:C10)</f>
        <v>300</v>
      </c>
    </row>
    <row r="3" spans="1:7" x14ac:dyDescent="0.3">
      <c r="A3" t="s">
        <v>5</v>
      </c>
      <c r="B3" t="s">
        <v>9</v>
      </c>
      <c r="C3" s="1">
        <v>155</v>
      </c>
    </row>
    <row r="4" spans="1:7" x14ac:dyDescent="0.3">
      <c r="A4" t="s">
        <v>6</v>
      </c>
      <c r="C4" s="1">
        <v>130</v>
      </c>
    </row>
    <row r="5" spans="1:7" x14ac:dyDescent="0.3">
      <c r="A5" t="s">
        <v>7</v>
      </c>
      <c r="B5" t="s">
        <v>17</v>
      </c>
      <c r="C5" s="1">
        <v>255</v>
      </c>
      <c r="G5" s="1"/>
    </row>
    <row r="6" spans="1:7" x14ac:dyDescent="0.3">
      <c r="A6" t="s">
        <v>5</v>
      </c>
      <c r="B6" t="s">
        <v>8</v>
      </c>
      <c r="C6" s="1">
        <v>160</v>
      </c>
    </row>
    <row r="7" spans="1:7" x14ac:dyDescent="0.3">
      <c r="A7" t="s">
        <v>6</v>
      </c>
      <c r="B7" t="s">
        <v>18</v>
      </c>
      <c r="C7" s="1">
        <v>280</v>
      </c>
    </row>
    <row r="8" spans="1:7" x14ac:dyDescent="0.3">
      <c r="A8" t="s">
        <v>7</v>
      </c>
      <c r="C8" s="1">
        <v>170</v>
      </c>
    </row>
    <row r="9" spans="1:7" x14ac:dyDescent="0.3">
      <c r="A9" t="s">
        <v>5</v>
      </c>
      <c r="B9" t="s">
        <v>15</v>
      </c>
      <c r="C9" s="1">
        <v>285</v>
      </c>
    </row>
    <row r="10" spans="1:7" x14ac:dyDescent="0.3">
      <c r="A10" t="s">
        <v>5</v>
      </c>
      <c r="B10" t="s">
        <v>16</v>
      </c>
      <c r="C10" s="1">
        <v>110</v>
      </c>
    </row>
    <row r="11" spans="1:7" x14ac:dyDescent="0.3">
      <c r="C11" s="1"/>
    </row>
    <row r="12" spans="1:7" x14ac:dyDescent="0.3">
      <c r="C12" s="1"/>
    </row>
    <row r="13" spans="1:7" x14ac:dyDescent="0.3">
      <c r="C13" s="1"/>
    </row>
    <row r="14" spans="1:7" x14ac:dyDescent="0.3">
      <c r="C14" s="1"/>
    </row>
    <row r="15" spans="1:7" x14ac:dyDescent="0.3">
      <c r="C15" s="1"/>
    </row>
    <row r="16" spans="1:7" x14ac:dyDescent="0.3">
      <c r="C16" s="1"/>
    </row>
  </sheetData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66135-786D-433F-9776-3464AEC886E4}">
  <dimension ref="A1:G16"/>
  <sheetViews>
    <sheetView workbookViewId="0">
      <selection activeCell="J33" sqref="J33"/>
    </sheetView>
  </sheetViews>
  <sheetFormatPr defaultRowHeight="14.4" x14ac:dyDescent="0.3"/>
  <cols>
    <col min="2" max="2" width="14.21875" bestFit="1" customWidth="1"/>
  </cols>
  <sheetData>
    <row r="1" spans="1:7" x14ac:dyDescent="0.3">
      <c r="A1" s="2" t="s">
        <v>2</v>
      </c>
      <c r="B1" s="2" t="s">
        <v>1</v>
      </c>
      <c r="C1" s="2" t="s">
        <v>3</v>
      </c>
      <c r="E1" s="4" t="s">
        <v>1</v>
      </c>
      <c r="F1" s="3" t="s">
        <v>8</v>
      </c>
    </row>
    <row r="2" spans="1:7" x14ac:dyDescent="0.3">
      <c r="A2" t="s">
        <v>6</v>
      </c>
      <c r="B2" t="s">
        <v>16</v>
      </c>
      <c r="C2" s="1">
        <v>250</v>
      </c>
      <c r="E2" s="5" t="s">
        <v>3</v>
      </c>
      <c r="F2" s="6"/>
    </row>
    <row r="3" spans="1:7" x14ac:dyDescent="0.3">
      <c r="A3" t="s">
        <v>5</v>
      </c>
      <c r="B3" t="s">
        <v>9</v>
      </c>
      <c r="C3" s="1">
        <v>155</v>
      </c>
    </row>
    <row r="4" spans="1:7" x14ac:dyDescent="0.3">
      <c r="A4" t="s">
        <v>6</v>
      </c>
      <c r="B4" t="s">
        <v>19</v>
      </c>
      <c r="C4" s="1">
        <v>130</v>
      </c>
    </row>
    <row r="5" spans="1:7" x14ac:dyDescent="0.3">
      <c r="A5" t="s">
        <v>7</v>
      </c>
      <c r="B5" t="s">
        <v>17</v>
      </c>
      <c r="C5" s="1">
        <v>255</v>
      </c>
      <c r="E5" s="4" t="s">
        <v>1</v>
      </c>
      <c r="F5" s="3" t="s">
        <v>21</v>
      </c>
      <c r="G5" s="1"/>
    </row>
    <row r="6" spans="1:7" x14ac:dyDescent="0.3">
      <c r="A6" t="s">
        <v>5</v>
      </c>
      <c r="B6" t="s">
        <v>8</v>
      </c>
      <c r="C6" s="1">
        <v>160</v>
      </c>
      <c r="E6" s="5" t="s">
        <v>3</v>
      </c>
      <c r="F6" s="6"/>
    </row>
    <row r="7" spans="1:7" x14ac:dyDescent="0.3">
      <c r="A7" t="s">
        <v>6</v>
      </c>
      <c r="B7" t="s">
        <v>18</v>
      </c>
      <c r="C7" s="1">
        <v>280</v>
      </c>
    </row>
    <row r="8" spans="1:7" x14ac:dyDescent="0.3">
      <c r="A8" t="s">
        <v>7</v>
      </c>
      <c r="B8" t="s">
        <v>20</v>
      </c>
      <c r="C8" s="1">
        <v>170</v>
      </c>
    </row>
    <row r="9" spans="1:7" x14ac:dyDescent="0.3">
      <c r="A9" t="s">
        <v>5</v>
      </c>
      <c r="B9" t="s">
        <v>15</v>
      </c>
      <c r="C9" s="1">
        <v>285</v>
      </c>
    </row>
    <row r="10" spans="1:7" x14ac:dyDescent="0.3">
      <c r="A10" t="s">
        <v>5</v>
      </c>
      <c r="B10" t="s">
        <v>16</v>
      </c>
      <c r="C10" s="1">
        <v>110</v>
      </c>
    </row>
    <row r="11" spans="1:7" x14ac:dyDescent="0.3">
      <c r="C11" s="1"/>
    </row>
    <row r="12" spans="1:7" x14ac:dyDescent="0.3">
      <c r="C12" s="1"/>
    </row>
    <row r="13" spans="1:7" x14ac:dyDescent="0.3">
      <c r="C13" s="1"/>
    </row>
    <row r="14" spans="1:7" x14ac:dyDescent="0.3">
      <c r="C14" s="1"/>
    </row>
    <row r="15" spans="1:7" x14ac:dyDescent="0.3">
      <c r="C15" s="1"/>
    </row>
    <row r="16" spans="1:7" x14ac:dyDescent="0.3">
      <c r="C16" s="1"/>
    </row>
  </sheetData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CBB12-7BF4-497E-86BB-ADEFC0E4CB10}">
  <dimension ref="A1:J17"/>
  <sheetViews>
    <sheetView tabSelected="1" workbookViewId="0">
      <selection activeCell="H2" sqref="H2"/>
    </sheetView>
  </sheetViews>
  <sheetFormatPr defaultRowHeight="14.4" x14ac:dyDescent="0.3"/>
  <cols>
    <col min="3" max="3" width="14.5546875" customWidth="1"/>
    <col min="5" max="5" width="17.44140625" customWidth="1"/>
    <col min="6" max="6" width="10.5546875" customWidth="1"/>
    <col min="8" max="8" width="10.5546875" bestFit="1" customWidth="1"/>
    <col min="9" max="10" width="9.77734375" bestFit="1" customWidth="1"/>
  </cols>
  <sheetData>
    <row r="1" spans="1:10" x14ac:dyDescent="0.3">
      <c r="A1" s="2" t="s">
        <v>2</v>
      </c>
      <c r="B1" s="2" t="s">
        <v>3</v>
      </c>
      <c r="C1" s="2" t="s">
        <v>23</v>
      </c>
      <c r="E1" s="7" t="s">
        <v>24</v>
      </c>
      <c r="F1" s="10">
        <v>44084</v>
      </c>
      <c r="H1" s="7" t="s">
        <v>25</v>
      </c>
      <c r="I1" s="11">
        <v>44084</v>
      </c>
      <c r="J1" s="12">
        <v>44094</v>
      </c>
    </row>
    <row r="2" spans="1:10" x14ac:dyDescent="0.3">
      <c r="A2" t="s">
        <v>6</v>
      </c>
      <c r="B2" s="1">
        <v>250</v>
      </c>
      <c r="C2" s="9">
        <v>44076</v>
      </c>
      <c r="E2" s="8" t="s">
        <v>12</v>
      </c>
      <c r="F2" s="6">
        <f>SUMIF(B2:B10,"&lt;="&amp;F1,C2:C10)</f>
        <v>396742</v>
      </c>
      <c r="H2" s="8" t="s">
        <v>12</v>
      </c>
      <c r="I2" s="13">
        <f>SUMIFS(B2:B10,C2:C10,"&gt;="&amp;I1,C2:C10,"&lt;="&amp;J1)</f>
        <v>695</v>
      </c>
      <c r="J2" s="14"/>
    </row>
    <row r="3" spans="1:10" x14ac:dyDescent="0.3">
      <c r="A3" t="s">
        <v>5</v>
      </c>
      <c r="B3" s="1">
        <v>155</v>
      </c>
      <c r="C3" s="9">
        <v>44077</v>
      </c>
      <c r="I3" s="1"/>
    </row>
    <row r="4" spans="1:10" x14ac:dyDescent="0.3">
      <c r="A4" t="s">
        <v>6</v>
      </c>
      <c r="B4" s="1">
        <v>130</v>
      </c>
      <c r="C4" s="9">
        <v>44077</v>
      </c>
    </row>
    <row r="5" spans="1:10" x14ac:dyDescent="0.3">
      <c r="A5" t="s">
        <v>7</v>
      </c>
      <c r="B5" s="1">
        <v>255</v>
      </c>
      <c r="C5" s="9">
        <v>44084</v>
      </c>
    </row>
    <row r="6" spans="1:10" x14ac:dyDescent="0.3">
      <c r="A6" t="s">
        <v>5</v>
      </c>
      <c r="B6" s="1">
        <v>160</v>
      </c>
      <c r="C6" s="9">
        <v>44085</v>
      </c>
    </row>
    <row r="7" spans="1:10" x14ac:dyDescent="0.3">
      <c r="A7" t="s">
        <v>6</v>
      </c>
      <c r="B7" s="1">
        <v>280</v>
      </c>
      <c r="C7" s="9">
        <v>44082</v>
      </c>
    </row>
    <row r="8" spans="1:10" x14ac:dyDescent="0.3">
      <c r="A8" t="s">
        <v>7</v>
      </c>
      <c r="B8" s="1">
        <v>170</v>
      </c>
      <c r="C8" s="9">
        <v>44094</v>
      </c>
    </row>
    <row r="9" spans="1:10" x14ac:dyDescent="0.3">
      <c r="A9" t="s">
        <v>5</v>
      </c>
      <c r="B9" s="1">
        <v>285</v>
      </c>
      <c r="C9" s="9">
        <v>44083</v>
      </c>
    </row>
    <row r="10" spans="1:10" x14ac:dyDescent="0.3">
      <c r="A10" t="s">
        <v>5</v>
      </c>
      <c r="B10" s="1">
        <v>110</v>
      </c>
      <c r="C10" s="9">
        <v>44084</v>
      </c>
    </row>
    <row r="11" spans="1:10" x14ac:dyDescent="0.3">
      <c r="B11" s="1"/>
      <c r="C11" s="1"/>
    </row>
    <row r="12" spans="1:10" x14ac:dyDescent="0.3">
      <c r="B12" s="1"/>
      <c r="C12" s="1"/>
    </row>
    <row r="13" spans="1:10" x14ac:dyDescent="0.3">
      <c r="B13" s="1"/>
      <c r="C13" s="1"/>
    </row>
    <row r="14" spans="1:10" x14ac:dyDescent="0.3">
      <c r="B14" s="1"/>
      <c r="C14" s="1"/>
    </row>
    <row r="15" spans="1:10" x14ac:dyDescent="0.3">
      <c r="B15" s="1"/>
      <c r="C15" s="1"/>
    </row>
    <row r="16" spans="1:10" x14ac:dyDescent="0.3">
      <c r="B16" s="1"/>
      <c r="C16" s="1"/>
    </row>
    <row r="17" spans="3:3" x14ac:dyDescent="0.3">
      <c r="C17" s="1"/>
    </row>
  </sheetData>
  <mergeCells count="1">
    <mergeCell ref="I2:J2"/>
  </mergeCells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94D5D-D1F9-4690-8B84-F2E7549A3FA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Basic formula</vt:lpstr>
      <vt:lpstr>SUMIF greater than</vt:lpstr>
      <vt:lpstr>SUMIF equal to</vt:lpstr>
      <vt:lpstr>SUMIF not equal to</vt:lpstr>
      <vt:lpstr>SUMIF not blank</vt:lpstr>
      <vt:lpstr>SUMIF blank</vt:lpstr>
      <vt:lpstr>SUMIF wildcards</vt:lpstr>
      <vt:lpstr>SUMIF with dates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</dc:creator>
  <cp:lastModifiedBy>bfarrukhzaad@gmail.com</cp:lastModifiedBy>
  <dcterms:created xsi:type="dcterms:W3CDTF">2020-09-04T10:24:51Z</dcterms:created>
  <dcterms:modified xsi:type="dcterms:W3CDTF">2026-09-03T13:23:36Z</dcterms:modified>
</cp:coreProperties>
</file>