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210" documentId="8_{81D6164E-37CE-42D2-A16F-455808B6BE67}" xr6:coauthVersionLast="47" xr6:coauthVersionMax="47" xr10:uidLastSave="{4BA28E55-FAA9-4379-AA82-22712933CAA6}"/>
  <bookViews>
    <workbookView xWindow="-108" yWindow="-108" windowWidth="23256" windowHeight="13896" activeTab="5" xr2:uid="{00000000-000D-0000-FFFF-FFFF00000000}"/>
  </bookViews>
  <sheets>
    <sheet name="lookup " sheetId="1" r:id="rId1"/>
    <sheet name="Vlookup" sheetId="2" r:id="rId2"/>
    <sheet name="Sheet1" sheetId="6" r:id="rId3"/>
    <sheet name="DYNAMIC Vlookup" sheetId="3" r:id="rId4"/>
    <sheet name="HLOOKUP" sheetId="4" r:id="rId5"/>
    <sheet name="INDEX AND MATCH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I14" i="5" l="1"/>
  <c r="I15" i="5"/>
  <c r="K14" i="5"/>
  <c r="J33" i="5"/>
  <c r="J27" i="5"/>
  <c r="J28" i="5"/>
  <c r="J29" i="5"/>
  <c r="J30" i="5"/>
  <c r="J31" i="5"/>
  <c r="J32" i="5"/>
  <c r="J15" i="5"/>
  <c r="J16" i="5"/>
  <c r="J17" i="5"/>
  <c r="J18" i="5"/>
  <c r="J19" i="5"/>
  <c r="J20" i="5"/>
  <c r="J21" i="5"/>
  <c r="J22" i="5"/>
  <c r="J23" i="5"/>
  <c r="J24" i="5"/>
  <c r="J25" i="5"/>
  <c r="J26" i="5"/>
  <c r="J14" i="5"/>
  <c r="K15" i="5"/>
  <c r="K16" i="5"/>
  <c r="K17" i="5"/>
  <c r="K18" i="5"/>
  <c r="K19" i="5"/>
  <c r="D11" i="4"/>
  <c r="D12" i="4"/>
  <c r="D13" i="4"/>
  <c r="D14" i="4"/>
  <c r="D15" i="4"/>
  <c r="D16" i="4"/>
  <c r="D17" i="4"/>
  <c r="D18" i="4"/>
  <c r="D10" i="4"/>
  <c r="C11" i="4"/>
  <c r="C12" i="4"/>
  <c r="C13" i="4"/>
  <c r="C14" i="4"/>
  <c r="C15" i="4"/>
  <c r="C16" i="4"/>
  <c r="C17" i="4"/>
  <c r="C18" i="4"/>
  <c r="C10" i="4"/>
  <c r="I8" i="4"/>
  <c r="J18" i="6"/>
  <c r="J19" i="6"/>
  <c r="J20" i="6"/>
  <c r="J21" i="6"/>
  <c r="J17" i="6"/>
  <c r="M7" i="6"/>
  <c r="M8" i="6"/>
  <c r="M9" i="6"/>
  <c r="M10" i="6"/>
  <c r="M6" i="6"/>
  <c r="L10" i="6"/>
  <c r="L9" i="6"/>
  <c r="L8" i="6"/>
  <c r="L7" i="6"/>
  <c r="L6" i="6"/>
  <c r="J12" i="2"/>
  <c r="J11" i="2"/>
  <c r="J10" i="2"/>
  <c r="J9" i="2"/>
  <c r="J8" i="2"/>
  <c r="I16" i="5" l="1"/>
  <c r="I19" i="5"/>
  <c r="I18" i="5"/>
  <c r="I17" i="5"/>
  <c r="J24" i="4"/>
  <c r="I24" i="4"/>
  <c r="H24" i="4"/>
  <c r="G24" i="4"/>
  <c r="F24" i="4"/>
  <c r="E24" i="4"/>
  <c r="D24" i="4"/>
  <c r="I4" i="2"/>
</calcChain>
</file>

<file path=xl/sharedStrings.xml><?xml version="1.0" encoding="utf-8"?>
<sst xmlns="http://schemas.openxmlformats.org/spreadsheetml/2006/main" count="458" uniqueCount="95">
  <si>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</si>
  <si>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</si>
  <si>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</si>
  <si>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</si>
  <si>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</si>
  <si>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</si>
  <si>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</si>
  <si>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</si>
  <si>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</si>
  <si>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</si>
  <si>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</si>
  <si>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</si>
  <si>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</si>
  <si>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</si>
  <si>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</si>
  <si>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</si>
  <si>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</si>
  <si>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</si>
  <si>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</si>
  <si>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</si>
  <si>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</si>
  <si>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</si>
  <si>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</si>
  <si>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</si>
  <si>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</si>
  <si>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</si>
  <si>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</si>
  <si>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</si>
  <si>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</si>
  <si>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</si>
  <si>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</si>
  <si>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</si>
  <si>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</si>
  <si>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</si>
  <si>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</si>
  <si>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</si>
  <si>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</si>
  <si>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</si>
  <si>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</si>
  <si>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</si>
  <si>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</si>
  <si>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</si>
  <si>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</si>
  <si>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</si>
  <si>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</si>
  <si>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</si>
  <si>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</si>
  <si>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</si>
  <si>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</si>
  <si>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</si>
  <si>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</si>
  <si>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</si>
  <si>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</si>
  <si>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</si>
  <si>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</si>
  <si>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</si>
  <si>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</si>
  <si>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</si>
  <si>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</si>
  <si>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</si>
  <si>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</si>
  <si>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</si>
  <si>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</si>
  <si>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</si>
  <si>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</si>
  <si>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</si>
  <si>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</si>
  <si>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</si>
  <si>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</si>
  <si>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</si>
  <si>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</si>
  <si>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</si>
  <si>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</si>
  <si>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</si>
  <si>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</si>
  <si>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</si>
  <si>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</si>
  <si>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</si>
  <si>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</si>
  <si>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</si>
  <si>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</si>
  <si>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</si>
  <si>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</si>
  <si>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</si>
  <si>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</si>
  <si>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</si>
  <si>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</si>
  <si>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</si>
  <si>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</si>
  <si>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</si>
  <si>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</si>
  <si>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</si>
  <si>
    <t>Match - It returns index of provided table array</t>
  </si>
  <si>
    <t>Row No</t>
  </si>
  <si>
    <t>Column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</si>
</sst>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[$-F800]dddd\,\ mmmm\ dd\,\ 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2" borderId="5" xfId="0" applyFont="1" applyFill="1" applyBorder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5" fillId="3" borderId="9" xfId="0" applyFont="1" applyFill="1" applyBorder="1"/>
    <xf numFmtId="0" fontId="5" fillId="3" borderId="10" xfId="0" applyFont="1" applyFill="1" applyBorder="1"/>
    <xf numFmtId="0" fontId="5" fillId="3" borderId="11" xfId="0" applyFont="1" applyFill="1" applyBorder="1"/>
    <xf numFmtId="0" fontId="2" fillId="0" borderId="12" xfId="0" applyFont="1" applyBorder="1"/>
    <xf numFmtId="0" fontId="2" fillId="0" borderId="13" xfId="0" applyFont="1" applyBorder="1"/>
    <xf numFmtId="15" fontId="2" fillId="0" borderId="13" xfId="0" applyNumberFormat="1" applyFont="1" applyBorder="1"/>
    <xf numFmtId="0" fontId="2" fillId="0" borderId="14" xfId="0" applyFont="1" applyBorder="1"/>
    <xf numFmtId="0" fontId="5" fillId="3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15" fontId="2" fillId="0" borderId="18" xfId="0" applyNumberFormat="1" applyFont="1" applyBorder="1"/>
    <xf numFmtId="0" fontId="2" fillId="0" borderId="19" xfId="0" applyFont="1" applyBorder="1"/>
    <xf numFmtId="0" fontId="2" fillId="0" borderId="20" xfId="0" applyFont="1" applyBorder="1"/>
    <xf numFmtId="0" fontId="5" fillId="3" borderId="5" xfId="0" applyFont="1" applyFill="1" applyBorder="1"/>
    <xf numFmtId="0" fontId="6" fillId="0" borderId="0" xfId="0" applyFont="1"/>
    <xf numFmtId="15" fontId="2" fillId="0" borderId="16" xfId="0" applyNumberFormat="1" applyFont="1" applyBorder="1"/>
    <xf numFmtId="1" fontId="2" fillId="0" borderId="0" xfId="0" applyNumberFormat="1" applyFont="1"/>
    <xf numFmtId="9" fontId="6" fillId="0" borderId="0" xfId="0" applyNumberFormat="1" applyFont="1"/>
    <xf numFmtId="9" fontId="2" fillId="0" borderId="0" xfId="0" applyNumberFormat="1" applyFont="1"/>
    <xf numFmtId="2" fontId="2" fillId="0" borderId="0" xfId="0" applyNumberFormat="1" applyFont="1"/>
    <xf numFmtId="0" fontId="3" fillId="4" borderId="21" xfId="0" applyFont="1" applyFill="1" applyBorder="1" applyAlignment="1">
      <alignment horizontal="center" wrapText="1"/>
    </xf>
    <xf numFmtId="2" fontId="2" fillId="0" borderId="22" xfId="0" applyNumberFormat="1" applyFont="1" applyBorder="1" applyAlignment="1">
      <alignment horizontal="right" wrapText="1"/>
    </xf>
    <xf numFmtId="2" fontId="2" fillId="0" borderId="22" xfId="0" applyNumberFormat="1" applyFont="1" applyBorder="1" applyAlignment="1">
      <alignment wrapText="1"/>
    </xf>
    <xf numFmtId="2" fontId="2" fillId="0" borderId="23" xfId="0" applyNumberFormat="1" applyFont="1" applyBorder="1" applyAlignment="1">
      <alignment vertical="center"/>
    </xf>
    <xf numFmtId="0" fontId="3" fillId="4" borderId="24" xfId="0" applyFont="1" applyFill="1" applyBorder="1" applyAlignment="1">
      <alignment horizontal="center" wrapText="1"/>
    </xf>
    <xf numFmtId="9" fontId="2" fillId="0" borderId="16" xfId="0" applyNumberFormat="1" applyFont="1" applyBorder="1" applyAlignment="1">
      <alignment horizontal="center" wrapText="1"/>
    </xf>
    <xf numFmtId="9" fontId="2" fillId="0" borderId="25" xfId="0" applyNumberFormat="1" applyFont="1" applyBorder="1" applyAlignment="1">
      <alignment horizontal="center" wrapText="1"/>
    </xf>
    <xf numFmtId="0" fontId="2" fillId="0" borderId="26" xfId="0" applyFont="1" applyBorder="1" applyAlignment="1">
      <alignment wrapText="1"/>
    </xf>
    <xf numFmtId="9" fontId="2" fillId="0" borderId="27" xfId="0" applyNumberFormat="1" applyFont="1" applyBorder="1" applyAlignment="1">
      <alignment horizontal="center"/>
    </xf>
    <xf numFmtId="9" fontId="2" fillId="0" borderId="28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64" fontId="2" fillId="2" borderId="5" xfId="0" applyNumberFormat="1" applyFont="1" applyFill="1" applyBorder="1"/>
    <xf numFmtId="0" fontId="2" fillId="0" borderId="29" xfId="0" applyFont="1" applyBorder="1"/>
    <xf numFmtId="164" fontId="2" fillId="0" borderId="4" xfId="0" applyNumberFormat="1" applyFont="1" applyBorder="1"/>
    <xf numFmtId="164" fontId="2" fillId="0" borderId="30" xfId="0" applyNumberFormat="1" applyFont="1" applyBorder="1"/>
    <xf numFmtId="0" fontId="2" fillId="0" borderId="31" xfId="0" applyFont="1" applyBorder="1"/>
    <xf numFmtId="9" fontId="2" fillId="0" borderId="32" xfId="0" applyNumberFormat="1" applyFont="1" applyBorder="1"/>
    <xf numFmtId="0" fontId="6" fillId="0" borderId="0" xfId="0" applyFont="1" applyAlignment="1">
      <alignment vertical="center"/>
    </xf>
    <xf numFmtId="0" fontId="5" fillId="3" borderId="33" xfId="0" applyFont="1" applyFill="1" applyBorder="1"/>
    <xf numFmtId="0" fontId="8" fillId="0" borderId="15" xfId="0" applyFont="1" applyBorder="1" applyAlignment="1">
      <alignment horizontal="left"/>
    </xf>
    <xf numFmtId="0" fontId="9" fillId="3" borderId="11" xfId="0" applyFont="1" applyFill="1" applyBorder="1"/>
    <xf numFmtId="0" fontId="5" fillId="3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5" xfId="0" applyFont="1" applyBorder="1"/>
    <xf numFmtId="0" fontId="9" fillId="3" borderId="5" xfId="0" applyFont="1" applyFill="1" applyBorder="1"/>
    <xf numFmtId="0" fontId="0" fillId="5" borderId="0" xfId="0" applyFill="1"/>
    <xf numFmtId="165" fontId="8" fillId="0" borderId="15" xfId="0" applyNumberFormat="1" applyFont="1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4" fillId="0" borderId="8" xfId="0" applyFont="1" applyBorder="1"/>
    <xf numFmtId="0" fontId="7" fillId="2" borderId="6" xfId="0" applyFont="1" applyFill="1" applyBorder="1" applyAlignment="1">
      <alignment horizontal="center"/>
    </xf>
    <xf numFmtId="0" fontId="4" fillId="0" borderId="7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A5A5A5"/>
          <bgColor rgb="FFA5A5A5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353A6E-7F98-4058-909B-F5D5C1FA7947}" name="Table2" displayName="Table2" ref="A1:F21" totalsRowShown="0" headerRowDxfId="8" dataDxfId="7" tableBorderDxfId="6">
  <tableColumns count="6">
    <tableColumn id="1" xr3:uid="{40642274-752F-4D33-8547-D10FEE64198A}" name="ID" dataDxfId="5"/>
    <tableColumn id="2" xr3:uid="{E159F99B-ED19-446F-992C-283BDE81A136}" name="First" dataDxfId="4"/>
    <tableColumn id="3" xr3:uid="{CDCAF524-E96C-4C91-BBA7-F82112810699}" name="Last" dataDxfId="3"/>
    <tableColumn id="4" xr3:uid="{39A6EE50-FFB8-4671-8E4D-1E1E02508302}" name="Start" dataDxfId="2"/>
    <tableColumn id="5" xr3:uid="{F3AC08B1-A1DD-4D71-984E-984BFEE9B378}" name="Department" dataDxfId="1"/>
    <tableColumn id="6" xr3:uid="{7DBF156E-F84D-4D29-8F58-91023BDE21B8}" name="Group" dataDxfId="0"/>
  </tableColumns>
  <tableStyleInfo name="DYNAMIC Vlookup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opLeftCell="A6" workbookViewId="0">
      <selection activeCell="E12" sqref="E12"/>
    </sheetView>
  </sheetViews>
  <sheetFormatPr defaultColWidth="14.44140625" defaultRowHeight="15" customHeight="1" x14ac:dyDescent="0.3"/>
  <cols>
    <col min="1" max="1" width="8.77734375" customWidth="1"/>
    <col min="2" max="2" width="31.44140625" customWidth="1"/>
    <col min="3" max="11" width="8.77734375" customWidth="1"/>
  </cols>
  <sheetData>
    <row r="2" spans="1:11" ht="14.4" x14ac:dyDescent="0.3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5" customHeight="1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15" customHeigh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1" ht="14.4" x14ac:dyDescent="0.3">
      <c r="A5" s="69" t="s">
        <v>1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64.5" customHeight="1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110.25" customHeight="1" x14ac:dyDescent="0.3">
      <c r="A7" s="67" t="s">
        <v>2</v>
      </c>
      <c r="B7" s="68"/>
      <c r="C7" s="68"/>
      <c r="D7" s="68"/>
      <c r="E7" s="68"/>
      <c r="F7" s="68"/>
      <c r="G7" s="68"/>
      <c r="H7" s="68"/>
      <c r="I7" s="68"/>
      <c r="J7" s="68"/>
      <c r="K7" s="68"/>
    </row>
    <row r="8" spans="1:11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 x14ac:dyDescent="0.3">
      <c r="A9" s="62" t="s">
        <v>3</v>
      </c>
      <c r="B9" s="63"/>
      <c r="C9" s="63"/>
      <c r="D9" s="63"/>
      <c r="E9" s="63"/>
      <c r="F9" s="63"/>
      <c r="G9" s="63"/>
      <c r="H9" s="63"/>
      <c r="I9" s="63"/>
      <c r="J9" s="64"/>
    </row>
    <row r="10" spans="1:11" ht="32.25" customHeight="1" x14ac:dyDescent="0.3">
      <c r="A10" s="70"/>
      <c r="B10" s="66"/>
      <c r="C10" s="66"/>
      <c r="D10" s="66"/>
      <c r="E10" s="66"/>
      <c r="F10" s="66"/>
      <c r="G10" s="66"/>
      <c r="H10" s="66"/>
      <c r="I10" s="66"/>
      <c r="J10" s="66"/>
    </row>
    <row r="12" spans="1:11" ht="14.4" x14ac:dyDescent="0.3">
      <c r="A12" s="2" t="s">
        <v>4</v>
      </c>
      <c r="B12" s="3"/>
      <c r="C12" s="4" t="s">
        <v>4</v>
      </c>
      <c r="D12" s="4" t="s">
        <v>5</v>
      </c>
    </row>
    <row r="13" spans="1:11" ht="14.4" x14ac:dyDescent="0.3">
      <c r="A13" s="2" t="s">
        <v>6</v>
      </c>
      <c r="B13" s="3"/>
      <c r="C13" s="4" t="s">
        <v>7</v>
      </c>
      <c r="D13" s="4" t="s">
        <v>8</v>
      </c>
    </row>
    <row r="14" spans="1:11" ht="14.4" x14ac:dyDescent="0.3">
      <c r="C14" s="4" t="s">
        <v>9</v>
      </c>
      <c r="D14" s="4" t="s">
        <v>10</v>
      </c>
    </row>
    <row r="15" spans="1:11" ht="14.4" x14ac:dyDescent="0.3">
      <c r="C15" s="4" t="s">
        <v>11</v>
      </c>
      <c r="D15" s="4" t="s">
        <v>12</v>
      </c>
    </row>
    <row r="16" spans="1:11" ht="14.4" x14ac:dyDescent="0.3">
      <c r="C16" s="4" t="s">
        <v>13</v>
      </c>
      <c r="D16" s="4" t="s">
        <v>14</v>
      </c>
    </row>
    <row r="19" spans="1:10" ht="30.75" customHeight="1" x14ac:dyDescent="0.3">
      <c r="A19" s="62" t="s">
        <v>15</v>
      </c>
      <c r="B19" s="63"/>
      <c r="C19" s="63"/>
      <c r="D19" s="63"/>
      <c r="E19" s="63"/>
      <c r="F19" s="63"/>
      <c r="G19" s="63"/>
      <c r="H19" s="63"/>
      <c r="I19" s="63"/>
      <c r="J19" s="64"/>
    </row>
    <row r="20" spans="1:10" ht="54" customHeight="1" x14ac:dyDescent="0.3">
      <c r="A20" s="65" t="s">
        <v>16</v>
      </c>
      <c r="B20" s="66"/>
      <c r="C20" s="66"/>
      <c r="D20" s="66"/>
      <c r="E20" s="66"/>
      <c r="F20" s="66"/>
      <c r="G20" s="66"/>
      <c r="H20" s="66"/>
      <c r="I20" s="66"/>
      <c r="J20" s="66"/>
    </row>
    <row r="21" spans="1:10" ht="54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 x14ac:dyDescent="0.3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 x14ac:dyDescent="0.3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C1" workbookViewId="0">
      <selection activeCell="J8" sqref="J8"/>
    </sheetView>
  </sheetViews>
  <sheetFormatPr defaultColWidth="14.44140625" defaultRowHeight="15" customHeight="1" x14ac:dyDescent="0.3"/>
  <cols>
    <col min="1" max="2" width="10.77734375" customWidth="1"/>
    <col min="3" max="3" width="10.21875" customWidth="1"/>
    <col min="4" max="4" width="10.109375" customWidth="1"/>
    <col min="5" max="5" width="13.21875" customWidth="1"/>
    <col min="6" max="7" width="8.77734375" customWidth="1"/>
    <col min="8" max="8" width="12.77734375" customWidth="1"/>
    <col min="9" max="9" width="11.77734375" customWidth="1"/>
    <col min="10" max="10" width="11.21875" customWidth="1"/>
    <col min="11" max="12" width="8.77734375" customWidth="1"/>
  </cols>
  <sheetData>
    <row r="1" spans="1:12" ht="14.4" x14ac:dyDescent="0.3">
      <c r="A1" s="71" t="s">
        <v>17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ht="15" customHeight="1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ht="14.4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ht="15" customHeight="1" x14ac:dyDescent="0.3">
      <c r="H4" s="2" t="s">
        <v>18</v>
      </c>
      <c r="I4" s="72" t="str">
        <f>VLOOKUP(610,A5:F24,6,FALSE)</f>
        <v>B</v>
      </c>
      <c r="J4" s="61"/>
      <c r="K4" s="61"/>
      <c r="L4" s="59"/>
    </row>
    <row r="5" spans="1:12" ht="14.4" x14ac:dyDescent="0.3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48" t="s">
        <v>24</v>
      </c>
    </row>
    <row r="6" spans="1:12" ht="14.4" x14ac:dyDescent="0.3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73" t="s">
        <v>29</v>
      </c>
      <c r="J6" s="74"/>
    </row>
    <row r="7" spans="1:12" ht="14.4" x14ac:dyDescent="0.3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49" t="s">
        <v>19</v>
      </c>
      <c r="J7" s="50">
        <v>785</v>
      </c>
      <c r="K7" s="4" t="s">
        <v>34</v>
      </c>
    </row>
    <row r="8" spans="1:12" ht="14.4" x14ac:dyDescent="0.3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49" t="s">
        <v>20</v>
      </c>
      <c r="J8" s="51" t="str">
        <f>VLOOKUP(J7,A5:F25,2,0)</f>
        <v>Harold</v>
      </c>
    </row>
    <row r="9" spans="1:12" ht="14.4" x14ac:dyDescent="0.3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H9" s="53"/>
      <c r="I9" s="49" t="s">
        <v>21</v>
      </c>
      <c r="J9" s="51" t="str">
        <f>VLOOKUP(J7,A5:F25,3,0)</f>
        <v>Calyon</v>
      </c>
    </row>
    <row r="10" spans="1:12" ht="14.4" x14ac:dyDescent="0.3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49" t="s">
        <v>22</v>
      </c>
      <c r="J10" s="52">
        <f>VLOOKUP(J7,A5:F25,4,0)</f>
        <v>40640</v>
      </c>
    </row>
    <row r="11" spans="1:12" ht="14.4" x14ac:dyDescent="0.3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49" t="s">
        <v>23</v>
      </c>
      <c r="J11" s="52" t="str">
        <f>VLOOKUP(J7,A5:F25,5,0)</f>
        <v>Fulfilment</v>
      </c>
    </row>
    <row r="12" spans="1:12" ht="14.4" x14ac:dyDescent="0.3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49" t="s">
        <v>24</v>
      </c>
      <c r="J12" s="52" t="str">
        <f>VLOOKUP(J7,A5:F25,6,0)</f>
        <v>B</v>
      </c>
    </row>
    <row r="13" spans="1:12" ht="14.4" x14ac:dyDescent="0.3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2" ht="14.4" x14ac:dyDescent="0.3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2" ht="14.4" x14ac:dyDescent="0.3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</row>
    <row r="16" spans="1:12" ht="14.4" x14ac:dyDescent="0.3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</row>
    <row r="17" spans="1:6" ht="14.4" x14ac:dyDescent="0.3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</row>
    <row r="18" spans="1:6" ht="14.4" x14ac:dyDescent="0.3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</row>
    <row r="19" spans="1:6" ht="14.4" x14ac:dyDescent="0.3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</row>
    <row r="20" spans="1:6" ht="14.4" x14ac:dyDescent="0.3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</row>
    <row r="21" spans="1:6" ht="15.75" customHeight="1" x14ac:dyDescent="0.3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</row>
    <row r="22" spans="1:6" ht="15.75" customHeight="1" x14ac:dyDescent="0.3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</row>
    <row r="23" spans="1:6" ht="15.75" customHeight="1" x14ac:dyDescent="0.3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6" ht="15.75" customHeight="1" x14ac:dyDescent="0.3">
      <c r="A24" s="16">
        <v>645</v>
      </c>
      <c r="B24" s="17" t="s">
        <v>45</v>
      </c>
      <c r="C24" s="17" t="s">
        <v>71</v>
      </c>
      <c r="D24" s="18">
        <v>39648</v>
      </c>
      <c r="E24" s="17" t="s">
        <v>27</v>
      </c>
      <c r="F24" s="19" t="s">
        <v>28</v>
      </c>
    </row>
    <row r="25" spans="1:6" ht="15.75" customHeight="1" x14ac:dyDescent="0.3">
      <c r="A25" s="20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L3"/>
    <mergeCell ref="I4:L4"/>
    <mergeCell ref="I6:J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3E18-CCB5-4C23-A95C-3CF3E6BE684A}">
  <dimension ref="A1:N21"/>
  <sheetViews>
    <sheetView showGridLines="0" workbookViewId="0">
      <selection activeCell="K16" sqref="K16"/>
    </sheetView>
  </sheetViews>
  <sheetFormatPr defaultRowHeight="14.4" x14ac:dyDescent="0.3"/>
  <cols>
    <col min="1" max="1" width="4.6640625" customWidth="1"/>
    <col min="2" max="2" width="7.21875" bestFit="1" customWidth="1"/>
    <col min="3" max="3" width="9.44140625" bestFit="1" customWidth="1"/>
    <col min="4" max="4" width="9.88671875" bestFit="1" customWidth="1"/>
    <col min="5" max="5" width="13" customWidth="1"/>
    <col min="6" max="6" width="8.109375" customWidth="1"/>
    <col min="9" max="9" width="11.109375" bestFit="1" customWidth="1"/>
    <col min="10" max="10" width="7.21875" bestFit="1" customWidth="1"/>
    <col min="11" max="11" width="11.109375" bestFit="1" customWidth="1"/>
    <col min="14" max="14" width="39.77734375" bestFit="1" customWidth="1"/>
  </cols>
  <sheetData>
    <row r="1" spans="1:14" x14ac:dyDescent="0.3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55" t="s">
        <v>24</v>
      </c>
    </row>
    <row r="2" spans="1:14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  <c r="N2" s="56" t="s">
        <v>92</v>
      </c>
    </row>
    <row r="3" spans="1:14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4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K4" s="73" t="s">
        <v>29</v>
      </c>
      <c r="L4" s="74"/>
    </row>
    <row r="5" spans="1:14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K5" s="49" t="s">
        <v>19</v>
      </c>
      <c r="L5" s="50">
        <v>100</v>
      </c>
    </row>
    <row r="6" spans="1:14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K6" s="49" t="s">
        <v>20</v>
      </c>
      <c r="L6" s="51" t="str">
        <f>VLOOKUP($L$5,Table2[],2,)</f>
        <v>akash</v>
      </c>
      <c r="M6">
        <f>MATCH(K6,Table2[#Headers],0)</f>
        <v>2</v>
      </c>
    </row>
    <row r="7" spans="1:14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K7" s="49" t="s">
        <v>21</v>
      </c>
      <c r="L7" s="51" t="str">
        <f>VLOOKUP($L$5,Table2[],3,)</f>
        <v>patil</v>
      </c>
      <c r="M7">
        <f>MATCH(K7,Table2[#Headers],0)</f>
        <v>3</v>
      </c>
    </row>
    <row r="8" spans="1:14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K8" s="49" t="s">
        <v>22</v>
      </c>
      <c r="L8" s="51">
        <f>VLOOKUP($L$5,Table2[],4,)</f>
        <v>39797</v>
      </c>
      <c r="M8">
        <f>MATCH(K8,Table2[#Headers],0)</f>
        <v>4</v>
      </c>
    </row>
    <row r="9" spans="1:14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K9" s="49" t="s">
        <v>23</v>
      </c>
      <c r="L9" s="51" t="str">
        <f>VLOOKUP($L$5,Table2[],5,)</f>
        <v>Sales</v>
      </c>
      <c r="M9">
        <f>MATCH(K9,Table2[#Headers],0)</f>
        <v>5</v>
      </c>
    </row>
    <row r="10" spans="1:14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  <c r="K10" s="49" t="s">
        <v>24</v>
      </c>
      <c r="L10" s="51" t="str">
        <f>VLOOKUP($L$5,Table2[],6,)</f>
        <v>A</v>
      </c>
      <c r="M10">
        <f>MATCH(K10,Table2[#Headers],0)</f>
        <v>6</v>
      </c>
    </row>
    <row r="11" spans="1:14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</row>
    <row r="12" spans="1:14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</row>
    <row r="13" spans="1:14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</row>
    <row r="14" spans="1:14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</row>
    <row r="15" spans="1:14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</row>
    <row r="16" spans="1:14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I16" s="49" t="s">
        <v>19</v>
      </c>
      <c r="J16" s="50">
        <v>785</v>
      </c>
    </row>
    <row r="17" spans="1:10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I17" s="49" t="s">
        <v>20</v>
      </c>
      <c r="J17" s="51" t="str">
        <f>VLOOKUP($J$16,Table2[],MATCH(I17,Table2[#Headers],0))</f>
        <v>Mildred</v>
      </c>
    </row>
    <row r="18" spans="1:10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  <c r="I18" s="49" t="s">
        <v>21</v>
      </c>
      <c r="J18" s="51" t="str">
        <f>VLOOKUP($J$16,Table2[],MATCH(I18,Table2[#Headers],0))</f>
        <v>Shell</v>
      </c>
    </row>
    <row r="19" spans="1:10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  <c r="I19" s="49" t="s">
        <v>22</v>
      </c>
      <c r="J19" s="51">
        <f>VLOOKUP($J$16,Table2[],MATCH(I19,Table2[#Headers],0))</f>
        <v>37733</v>
      </c>
    </row>
    <row r="20" spans="1:10" x14ac:dyDescent="0.3">
      <c r="A20" s="17">
        <v>645</v>
      </c>
      <c r="B20" s="17" t="s">
        <v>45</v>
      </c>
      <c r="C20" s="17" t="s">
        <v>71</v>
      </c>
      <c r="D20" s="18">
        <v>39648</v>
      </c>
      <c r="E20" s="17" t="s">
        <v>27</v>
      </c>
      <c r="F20" s="17" t="s">
        <v>28</v>
      </c>
      <c r="I20" s="49" t="s">
        <v>23</v>
      </c>
      <c r="J20" s="51" t="str">
        <f>VLOOKUP($J$16,Table2[],MATCH(I20,Table2[#Headers],0))</f>
        <v>Sales</v>
      </c>
    </row>
    <row r="21" spans="1:10" x14ac:dyDescent="0.3">
      <c r="A21" s="54">
        <v>100</v>
      </c>
      <c r="B21" s="4" t="s">
        <v>72</v>
      </c>
      <c r="C21" s="4" t="s">
        <v>73</v>
      </c>
      <c r="D21" s="11">
        <v>39797</v>
      </c>
      <c r="E21" s="10" t="s">
        <v>32</v>
      </c>
      <c r="F21" s="10" t="s">
        <v>33</v>
      </c>
      <c r="I21" s="49" t="s">
        <v>24</v>
      </c>
      <c r="J21" s="51" t="str">
        <f>VLOOKUP($J$16,Table2[],MATCH(I21,Table2[#Headers],0))</f>
        <v>A</v>
      </c>
    </row>
  </sheetData>
  <mergeCells count="1">
    <mergeCell ref="K4:L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C30" sqref="C30"/>
    </sheetView>
  </sheetViews>
  <sheetFormatPr defaultColWidth="14.44140625" defaultRowHeight="15" customHeight="1" x14ac:dyDescent="0.3"/>
  <cols>
    <col min="1" max="2" width="8.77734375" customWidth="1"/>
    <col min="3" max="3" width="10.21875" customWidth="1"/>
    <col min="4" max="4" width="9.77734375" customWidth="1"/>
    <col min="5" max="5" width="12.77734375" customWidth="1"/>
    <col min="6" max="7" width="8.77734375" customWidth="1"/>
    <col min="8" max="9" width="11.77734375" customWidth="1"/>
    <col min="10" max="10" width="8.77734375" customWidth="1"/>
  </cols>
  <sheetData>
    <row r="1" spans="1:10" ht="15" customHeight="1" x14ac:dyDescent="0.3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</row>
    <row r="2" spans="1:10" ht="15" customHeight="1" x14ac:dyDescent="0.3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 x14ac:dyDescent="0.3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 x14ac:dyDescent="0.3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3" t="s">
        <v>19</v>
      </c>
      <c r="I4" s="14">
        <v>100</v>
      </c>
      <c r="J4" s="4" t="s">
        <v>74</v>
      </c>
    </row>
    <row r="5" spans="1:10" ht="15" customHeight="1" x14ac:dyDescent="0.3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3" t="s">
        <v>20</v>
      </c>
      <c r="I5" s="15"/>
      <c r="J5" s="22"/>
    </row>
    <row r="6" spans="1:10" ht="15" customHeight="1" x14ac:dyDescent="0.3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3" t="s">
        <v>21</v>
      </c>
      <c r="I6" s="15"/>
      <c r="J6" s="22"/>
    </row>
    <row r="7" spans="1:10" ht="15" customHeight="1" x14ac:dyDescent="0.3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3" t="s">
        <v>22</v>
      </c>
      <c r="I7" s="23"/>
      <c r="J7" s="22"/>
    </row>
    <row r="8" spans="1:10" ht="15" customHeight="1" x14ac:dyDescent="0.3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3" t="s">
        <v>23</v>
      </c>
      <c r="I8" s="15"/>
      <c r="J8" s="22"/>
    </row>
    <row r="9" spans="1:10" ht="15" customHeight="1" x14ac:dyDescent="0.3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3" t="s">
        <v>24</v>
      </c>
      <c r="I9" s="15"/>
      <c r="J9" s="22"/>
    </row>
    <row r="10" spans="1:10" ht="15" customHeight="1" x14ac:dyDescent="0.3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 x14ac:dyDescent="0.3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58" t="s">
        <v>75</v>
      </c>
      <c r="I11" s="59"/>
    </row>
    <row r="12" spans="1:10" ht="15" customHeight="1" x14ac:dyDescent="0.3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5" t="s">
        <v>19</v>
      </c>
      <c r="I12" s="14"/>
    </row>
    <row r="13" spans="1:10" ht="15" customHeight="1" x14ac:dyDescent="0.3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5" t="s">
        <v>20</v>
      </c>
      <c r="I13" s="15"/>
    </row>
    <row r="14" spans="1:10" ht="15" customHeight="1" x14ac:dyDescent="0.3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5" t="s">
        <v>21</v>
      </c>
      <c r="I14" s="15"/>
    </row>
    <row r="15" spans="1:10" ht="15" customHeight="1" x14ac:dyDescent="0.3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5" t="s">
        <v>22</v>
      </c>
      <c r="I15" s="23"/>
    </row>
    <row r="16" spans="1:10" ht="15" customHeight="1" x14ac:dyDescent="0.3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5" t="s">
        <v>23</v>
      </c>
      <c r="I16" s="15"/>
    </row>
    <row r="17" spans="1:9" ht="15" customHeight="1" x14ac:dyDescent="0.3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5" t="s">
        <v>24</v>
      </c>
      <c r="I17" s="15"/>
    </row>
    <row r="18" spans="1:9" ht="15" customHeight="1" x14ac:dyDescent="0.3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 x14ac:dyDescent="0.3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 x14ac:dyDescent="0.3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 x14ac:dyDescent="0.3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zoomScale="83" workbookViewId="0">
      <selection activeCell="C10" sqref="C10"/>
    </sheetView>
  </sheetViews>
  <sheetFormatPr defaultColWidth="14.44140625" defaultRowHeight="15" customHeight="1" x14ac:dyDescent="0.3"/>
  <cols>
    <col min="1" max="1" width="8.77734375" customWidth="1"/>
    <col min="2" max="2" width="12.5546875" customWidth="1"/>
    <col min="3" max="3" width="11.5546875" customWidth="1"/>
    <col min="4" max="4" width="12.5546875" customWidth="1"/>
    <col min="5" max="5" width="11.5546875" customWidth="1"/>
    <col min="6" max="7" width="12.5546875" customWidth="1"/>
    <col min="8" max="8" width="12.109375" customWidth="1"/>
    <col min="9" max="9" width="13.21875" customWidth="1"/>
    <col min="10" max="10" width="12.5546875" customWidth="1"/>
    <col min="11" max="11" width="11.5546875" customWidth="1"/>
    <col min="12" max="12" width="12.77734375" customWidth="1"/>
  </cols>
  <sheetData>
    <row r="3" spans="1:9" ht="15" customHeight="1" x14ac:dyDescent="0.3">
      <c r="C3" s="2" t="s">
        <v>4</v>
      </c>
      <c r="D3" s="4" t="s">
        <v>7</v>
      </c>
      <c r="E3" s="4" t="s">
        <v>9</v>
      </c>
      <c r="F3" s="4" t="s">
        <v>11</v>
      </c>
      <c r="G3" s="4" t="s">
        <v>13</v>
      </c>
    </row>
    <row r="4" spans="1:9" ht="15" customHeight="1" x14ac:dyDescent="0.3">
      <c r="C4" s="2" t="s">
        <v>5</v>
      </c>
      <c r="D4" s="4" t="s">
        <v>8</v>
      </c>
      <c r="E4" s="4" t="s">
        <v>10</v>
      </c>
      <c r="F4" s="4" t="s">
        <v>12</v>
      </c>
      <c r="G4" s="4" t="s">
        <v>14</v>
      </c>
    </row>
    <row r="7" spans="1:9" ht="15" customHeight="1" x14ac:dyDescent="0.3">
      <c r="H7" s="4" t="s">
        <v>34</v>
      </c>
      <c r="I7" s="3" t="s">
        <v>7</v>
      </c>
    </row>
    <row r="8" spans="1:9" ht="15" customHeight="1" x14ac:dyDescent="0.3">
      <c r="H8" s="4" t="s">
        <v>6</v>
      </c>
      <c r="I8" s="22" t="str">
        <f>HLOOKUP(I7,C3:G4,2,0)</f>
        <v>Banana</v>
      </c>
    </row>
    <row r="9" spans="1:9" ht="15" customHeight="1" x14ac:dyDescent="0.3">
      <c r="A9" s="22" t="s">
        <v>76</v>
      </c>
      <c r="B9" s="22" t="s">
        <v>32</v>
      </c>
      <c r="C9" s="22" t="s">
        <v>18</v>
      </c>
      <c r="D9" s="4" t="s">
        <v>77</v>
      </c>
      <c r="F9" s="22" t="s">
        <v>32</v>
      </c>
      <c r="G9" s="22" t="s">
        <v>81</v>
      </c>
    </row>
    <row r="10" spans="1:9" ht="15" customHeight="1" x14ac:dyDescent="0.3">
      <c r="A10" s="22" t="s">
        <v>78</v>
      </c>
      <c r="B10" s="24">
        <v>171900</v>
      </c>
      <c r="C10" s="25">
        <f>VLOOKUP(B10,$F$10:$G$17,2,TRUE)</f>
        <v>7.0000000000000007E-2</v>
      </c>
      <c r="D10" s="25">
        <f>HLOOKUP(B10,$C$22:$J$23,2,TRUE)</f>
        <v>0.06</v>
      </c>
      <c r="F10" s="27">
        <v>50000</v>
      </c>
      <c r="G10" s="26">
        <v>0.03</v>
      </c>
    </row>
    <row r="11" spans="1:9" ht="15" customHeight="1" x14ac:dyDescent="0.3">
      <c r="A11" s="22" t="s">
        <v>79</v>
      </c>
      <c r="B11" s="24">
        <v>93500</v>
      </c>
      <c r="C11" s="25">
        <f t="shared" ref="C11:C18" si="0">VLOOKUP(B11,$F$10:$G$17,2,TRUE)</f>
        <v>0.04</v>
      </c>
      <c r="D11" s="25">
        <f t="shared" ref="D11:D18" si="1">HLOOKUP(B11,$C$22:$J$23,2,TRUE)</f>
        <v>0.04</v>
      </c>
      <c r="F11" s="27">
        <v>75000</v>
      </c>
      <c r="G11" s="26">
        <v>0.04</v>
      </c>
    </row>
    <row r="12" spans="1:9" ht="15" customHeight="1" x14ac:dyDescent="0.3">
      <c r="A12" s="22" t="s">
        <v>80</v>
      </c>
      <c r="B12" s="24">
        <v>151200</v>
      </c>
      <c r="C12" s="25">
        <f t="shared" si="0"/>
        <v>7.0000000000000007E-2</v>
      </c>
      <c r="D12" s="25">
        <f t="shared" si="1"/>
        <v>0.06</v>
      </c>
      <c r="F12" s="27">
        <v>100000</v>
      </c>
      <c r="G12" s="26">
        <v>0.05</v>
      </c>
    </row>
    <row r="13" spans="1:9" ht="15" customHeight="1" x14ac:dyDescent="0.3">
      <c r="A13" s="22" t="s">
        <v>82</v>
      </c>
      <c r="B13" s="24">
        <v>119850</v>
      </c>
      <c r="C13" s="25">
        <f t="shared" si="0"/>
        <v>0.05</v>
      </c>
      <c r="D13" s="25">
        <f t="shared" si="1"/>
        <v>0.05</v>
      </c>
      <c r="F13" s="27">
        <v>125000</v>
      </c>
      <c r="G13" s="26">
        <v>0.06</v>
      </c>
    </row>
    <row r="14" spans="1:9" ht="15" customHeight="1" x14ac:dyDescent="0.3">
      <c r="A14" s="22" t="s">
        <v>83</v>
      </c>
      <c r="B14" s="24">
        <v>89450</v>
      </c>
      <c r="C14" s="25">
        <f t="shared" si="0"/>
        <v>0.04</v>
      </c>
      <c r="D14" s="25">
        <f t="shared" si="1"/>
        <v>0.04</v>
      </c>
      <c r="F14" s="27">
        <v>150000</v>
      </c>
      <c r="G14" s="26">
        <v>7.0000000000000007E-2</v>
      </c>
    </row>
    <row r="15" spans="1:9" ht="15" customHeight="1" x14ac:dyDescent="0.3">
      <c r="A15" s="22" t="s">
        <v>84</v>
      </c>
      <c r="B15" s="24">
        <v>124500</v>
      </c>
      <c r="C15" s="25">
        <f t="shared" si="0"/>
        <v>0.05</v>
      </c>
      <c r="D15" s="25">
        <f t="shared" si="1"/>
        <v>0.05</v>
      </c>
      <c r="F15" s="27">
        <v>175000</v>
      </c>
      <c r="G15" s="26">
        <v>0.08</v>
      </c>
    </row>
    <row r="16" spans="1:9" ht="15" customHeight="1" x14ac:dyDescent="0.3">
      <c r="A16" s="22" t="s">
        <v>85</v>
      </c>
      <c r="B16" s="24">
        <v>131100</v>
      </c>
      <c r="C16" s="25">
        <f t="shared" si="0"/>
        <v>0.06</v>
      </c>
      <c r="D16" s="25">
        <f t="shared" si="1"/>
        <v>0.06</v>
      </c>
      <c r="F16" s="27">
        <v>200000</v>
      </c>
      <c r="G16" s="26">
        <v>0.09</v>
      </c>
    </row>
    <row r="17" spans="1:26" ht="15" customHeight="1" x14ac:dyDescent="0.3">
      <c r="A17" s="22" t="s">
        <v>86</v>
      </c>
      <c r="B17" s="24">
        <v>55300</v>
      </c>
      <c r="C17" s="25">
        <f t="shared" si="0"/>
        <v>0.03</v>
      </c>
      <c r="D17" s="25">
        <f t="shared" si="1"/>
        <v>0.03</v>
      </c>
      <c r="F17" s="27">
        <v>220000</v>
      </c>
      <c r="G17" s="26">
        <v>0.1</v>
      </c>
    </row>
    <row r="18" spans="1:26" ht="15" customHeight="1" x14ac:dyDescent="0.3">
      <c r="A18" s="22" t="s">
        <v>87</v>
      </c>
      <c r="B18" s="24">
        <v>220000</v>
      </c>
      <c r="C18" s="25">
        <f t="shared" si="0"/>
        <v>0.1</v>
      </c>
      <c r="D18" s="25">
        <f t="shared" si="1"/>
        <v>0.09</v>
      </c>
    </row>
    <row r="21" spans="1:26" ht="15.75" customHeight="1" x14ac:dyDescent="0.3"/>
    <row r="22" spans="1:26" ht="15.75" customHeight="1" x14ac:dyDescent="0.3">
      <c r="C22" s="28" t="s">
        <v>32</v>
      </c>
      <c r="D22" s="29">
        <v>50000</v>
      </c>
      <c r="E22" s="29">
        <v>75000</v>
      </c>
      <c r="F22" s="30">
        <v>100000</v>
      </c>
      <c r="G22" s="30">
        <v>125000</v>
      </c>
      <c r="H22" s="30" t="s">
        <v>88</v>
      </c>
      <c r="I22" s="30">
        <v>175000</v>
      </c>
      <c r="J22" s="31">
        <v>200000</v>
      </c>
    </row>
    <row r="23" spans="1:26" ht="15.75" customHeight="1" x14ac:dyDescent="0.3">
      <c r="C23" s="32" t="s">
        <v>81</v>
      </c>
      <c r="D23" s="33">
        <v>0.03</v>
      </c>
      <c r="E23" s="33">
        <v>0.04</v>
      </c>
      <c r="F23" s="33">
        <v>0.05</v>
      </c>
      <c r="G23" s="33">
        <v>0.06</v>
      </c>
      <c r="H23" s="33">
        <v>7.0000000000000007E-2</v>
      </c>
      <c r="I23" s="33">
        <v>0.08</v>
      </c>
      <c r="J23" s="34">
        <v>0.09</v>
      </c>
    </row>
    <row r="24" spans="1:26" ht="29.25" customHeight="1" x14ac:dyDescent="0.3">
      <c r="C24" s="35" t="s">
        <v>89</v>
      </c>
      <c r="D24" s="36">
        <f t="shared" ref="D24:J24" si="2">HLOOKUP(D22,C22:J23,2,TRUE)</f>
        <v>0.03</v>
      </c>
      <c r="E24" s="36">
        <f t="shared" si="2"/>
        <v>0.04</v>
      </c>
      <c r="F24" s="36">
        <f t="shared" si="2"/>
        <v>0.05</v>
      </c>
      <c r="G24" s="36">
        <f t="shared" si="2"/>
        <v>0.06</v>
      </c>
      <c r="H24" s="36">
        <f t="shared" si="2"/>
        <v>7.0000000000000007E-2</v>
      </c>
      <c r="I24" s="36">
        <f t="shared" si="2"/>
        <v>0.08</v>
      </c>
      <c r="J24" s="37">
        <f t="shared" si="2"/>
        <v>0.09</v>
      </c>
    </row>
    <row r="25" spans="1:26" ht="29.25" customHeight="1" x14ac:dyDescent="0.3">
      <c r="A25" s="4"/>
      <c r="B25" s="4"/>
      <c r="C25" s="3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C26" s="4"/>
      <c r="D26" s="39"/>
    </row>
    <row r="27" spans="1:26" ht="15.75" customHeight="1" x14ac:dyDescent="0.3">
      <c r="C27" s="4"/>
      <c r="D27" s="26"/>
    </row>
    <row r="28" spans="1:26" ht="15.75" customHeight="1" x14ac:dyDescent="0.3"/>
    <row r="29" spans="1:26" ht="15.75" customHeight="1" x14ac:dyDescent="0.3">
      <c r="C29" s="40" t="s">
        <v>32</v>
      </c>
      <c r="D29" s="41">
        <v>171900</v>
      </c>
      <c r="E29" s="41">
        <v>93500</v>
      </c>
      <c r="F29" s="41">
        <v>151200</v>
      </c>
      <c r="G29" s="41">
        <v>119850</v>
      </c>
      <c r="H29" s="41">
        <v>89450</v>
      </c>
      <c r="I29" s="41">
        <v>124500</v>
      </c>
      <c r="J29" s="41">
        <v>131100</v>
      </c>
      <c r="K29" s="41">
        <v>55300</v>
      </c>
      <c r="L29" s="42">
        <v>220000</v>
      </c>
    </row>
    <row r="30" spans="1:26" ht="15.75" customHeight="1" x14ac:dyDescent="0.3">
      <c r="C30" s="43" t="s">
        <v>90</v>
      </c>
      <c r="D30" s="44"/>
      <c r="E30" s="44"/>
      <c r="F30" s="44"/>
      <c r="G30" s="44"/>
      <c r="H30" s="44"/>
      <c r="I30" s="44"/>
      <c r="J30" s="44"/>
      <c r="K30" s="44"/>
      <c r="L30" s="44"/>
    </row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K33"/>
  <sheetViews>
    <sheetView tabSelected="1" workbookViewId="0">
      <selection activeCell="I14" sqref="I14"/>
    </sheetView>
  </sheetViews>
  <sheetFormatPr defaultColWidth="14.44140625" defaultRowHeight="15" customHeight="1" x14ac:dyDescent="0.3"/>
  <cols>
    <col min="9" max="9" width="14.6640625" bestFit="1" customWidth="1"/>
    <col min="10" max="10" width="16.77734375" customWidth="1"/>
  </cols>
  <sheetData>
    <row r="3" spans="1:11" ht="14.4" x14ac:dyDescent="0.3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1" ht="14.4" x14ac:dyDescent="0.3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58" t="s">
        <v>75</v>
      </c>
      <c r="I4" s="59"/>
      <c r="J4" s="45"/>
    </row>
    <row r="5" spans="1:11" ht="14.4" x14ac:dyDescent="0.3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5" t="s">
        <v>19</v>
      </c>
      <c r="I5" s="14"/>
    </row>
    <row r="6" spans="1:11" ht="14.4" x14ac:dyDescent="0.3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5" t="s">
        <v>20</v>
      </c>
      <c r="I6" s="15"/>
    </row>
    <row r="7" spans="1:11" ht="14.4" x14ac:dyDescent="0.3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5" t="s">
        <v>21</v>
      </c>
      <c r="I7" s="15"/>
    </row>
    <row r="8" spans="1:11" ht="14.4" x14ac:dyDescent="0.3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5" t="s">
        <v>22</v>
      </c>
      <c r="I8" s="15"/>
    </row>
    <row r="9" spans="1:11" ht="14.4" x14ac:dyDescent="0.3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5" t="s">
        <v>23</v>
      </c>
      <c r="I9" s="15"/>
    </row>
    <row r="10" spans="1:11" ht="14.4" x14ac:dyDescent="0.3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5" t="s">
        <v>24</v>
      </c>
      <c r="I10" s="15"/>
    </row>
    <row r="11" spans="1:11" ht="14.4" x14ac:dyDescent="0.3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1" ht="14.4" x14ac:dyDescent="0.3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1" ht="14.4" x14ac:dyDescent="0.3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60" t="s">
        <v>91</v>
      </c>
      <c r="I13" s="61"/>
      <c r="J13" t="s">
        <v>93</v>
      </c>
      <c r="K13" t="s">
        <v>94</v>
      </c>
    </row>
    <row r="14" spans="1:11" ht="14.4" x14ac:dyDescent="0.3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6" t="s">
        <v>19</v>
      </c>
      <c r="I14" s="47">
        <f>INDEX(A4:F23,5,1)</f>
        <v>622</v>
      </c>
      <c r="J14">
        <f>MATCH(A4,$A$4:$A$23,)</f>
        <v>1</v>
      </c>
      <c r="K14">
        <f>MATCH(H14,$A$3:$F$3,)</f>
        <v>1</v>
      </c>
    </row>
    <row r="15" spans="1:11" ht="14.4" x14ac:dyDescent="0.3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6" t="s">
        <v>20</v>
      </c>
      <c r="I15" s="47" t="str">
        <f>INDEX($A$4:$F$23,MATCH($I$14,$A$4:$A$23,0),MATCH(H15,$A$3:$F$3,0))</f>
        <v>Jon</v>
      </c>
      <c r="J15">
        <f t="shared" ref="J15:J33" si="0">MATCH(A5,$A$4:$A$23,)</f>
        <v>2</v>
      </c>
      <c r="K15">
        <f t="shared" ref="K15:K19" si="1">MATCH(H15,$A$3:$F$3,)</f>
        <v>2</v>
      </c>
    </row>
    <row r="16" spans="1:11" ht="14.4" x14ac:dyDescent="0.3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6" t="s">
        <v>21</v>
      </c>
      <c r="I16" s="47" t="str">
        <f t="shared" ref="I16:I19" si="2">INDEX($A$4:$F$23,MATCH($I$14,$A$4:$A$23,0),MATCH(H16,$A$3:$F$3,0))</f>
        <v>Addlngton</v>
      </c>
      <c r="J16">
        <f t="shared" si="0"/>
        <v>3</v>
      </c>
      <c r="K16">
        <f t="shared" si="1"/>
        <v>3</v>
      </c>
    </row>
    <row r="17" spans="1:11" ht="14.4" x14ac:dyDescent="0.3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6" t="s">
        <v>22</v>
      </c>
      <c r="I17" s="57">
        <f t="shared" si="2"/>
        <v>42977</v>
      </c>
      <c r="J17">
        <f t="shared" si="0"/>
        <v>4</v>
      </c>
      <c r="K17">
        <f t="shared" si="1"/>
        <v>4</v>
      </c>
    </row>
    <row r="18" spans="1:11" ht="14.4" x14ac:dyDescent="0.3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6" t="s">
        <v>23</v>
      </c>
      <c r="I18" s="47" t="str">
        <f t="shared" si="2"/>
        <v>marketing</v>
      </c>
      <c r="J18">
        <f t="shared" si="0"/>
        <v>5</v>
      </c>
      <c r="K18">
        <f t="shared" si="1"/>
        <v>5</v>
      </c>
    </row>
    <row r="19" spans="1:11" ht="14.4" x14ac:dyDescent="0.3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6" t="s">
        <v>24</v>
      </c>
      <c r="I19" s="47" t="str">
        <f t="shared" si="2"/>
        <v>A</v>
      </c>
      <c r="J19">
        <f t="shared" si="0"/>
        <v>6</v>
      </c>
      <c r="K19">
        <f t="shared" si="1"/>
        <v>6</v>
      </c>
    </row>
    <row r="20" spans="1:11" ht="14.4" x14ac:dyDescent="0.3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  <c r="J20">
        <f t="shared" si="0"/>
        <v>7</v>
      </c>
    </row>
    <row r="21" spans="1:11" ht="14.4" x14ac:dyDescent="0.3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  <c r="J21">
        <f t="shared" si="0"/>
        <v>8</v>
      </c>
    </row>
    <row r="22" spans="1:11" ht="14.4" x14ac:dyDescent="0.3">
      <c r="A22" s="16">
        <v>645</v>
      </c>
      <c r="B22" s="17" t="s">
        <v>45</v>
      </c>
      <c r="C22" s="17" t="s">
        <v>71</v>
      </c>
      <c r="D22" s="18">
        <v>39648</v>
      </c>
      <c r="E22" s="17" t="s">
        <v>27</v>
      </c>
      <c r="F22" s="19" t="s">
        <v>28</v>
      </c>
      <c r="J22">
        <f t="shared" si="0"/>
        <v>9</v>
      </c>
    </row>
    <row r="23" spans="1:11" ht="14.4" x14ac:dyDescent="0.3">
      <c r="A23" s="20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  <c r="J23">
        <f t="shared" si="0"/>
        <v>10</v>
      </c>
    </row>
    <row r="24" spans="1:11" ht="15" customHeight="1" x14ac:dyDescent="0.3">
      <c r="J24">
        <f t="shared" si="0"/>
        <v>11</v>
      </c>
    </row>
    <row r="25" spans="1:11" ht="15" customHeight="1" x14ac:dyDescent="0.3">
      <c r="J25">
        <f t="shared" si="0"/>
        <v>12</v>
      </c>
    </row>
    <row r="26" spans="1:11" ht="15" customHeight="1" x14ac:dyDescent="0.3">
      <c r="J26">
        <f t="shared" si="0"/>
        <v>13</v>
      </c>
    </row>
    <row r="27" spans="1:11" ht="15" customHeight="1" x14ac:dyDescent="0.3">
      <c r="J27">
        <f t="shared" si="0"/>
        <v>14</v>
      </c>
    </row>
    <row r="28" spans="1:11" ht="15" customHeight="1" x14ac:dyDescent="0.3">
      <c r="J28">
        <f t="shared" si="0"/>
        <v>15</v>
      </c>
    </row>
    <row r="29" spans="1:11" ht="15" customHeight="1" x14ac:dyDescent="0.3">
      <c r="J29">
        <f t="shared" si="0"/>
        <v>16</v>
      </c>
    </row>
    <row r="30" spans="1:11" ht="15" customHeight="1" x14ac:dyDescent="0.3">
      <c r="J30">
        <f t="shared" si="0"/>
        <v>17</v>
      </c>
    </row>
    <row r="31" spans="1:11" ht="15" customHeight="1" x14ac:dyDescent="0.3">
      <c r="J31">
        <f t="shared" si="0"/>
        <v>18</v>
      </c>
    </row>
    <row r="32" spans="1:11" ht="15" customHeight="1" x14ac:dyDescent="0.3">
      <c r="J32">
        <f t="shared" si="0"/>
        <v>19</v>
      </c>
    </row>
    <row r="33" spans="10:10" ht="15" customHeight="1" x14ac:dyDescent="0.3">
      <c r="J33">
        <f t="shared" si="0"/>
        <v>20</v>
      </c>
    </row>
  </sheetData>
  <mergeCells count="2">
    <mergeCell ref="H4:I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lookup </vt:lpstr>
      <vt:lpstr>Vlookup</vt:lpstr>
      <vt:lpstr>Sheet1</vt:lpstr>
      <vt:lpstr>DYNAMIC Vlookup</vt:lpstr>
      <vt:lpstr>HLOOKUP</vt:lpstr>
      <vt:lpstr>INDEX AND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bfarrukhzaad@gmail.com</cp:lastModifiedBy>
  <dcterms:created xsi:type="dcterms:W3CDTF">2024-07-15T05:08:55Z</dcterms:created>
  <dcterms:modified xsi:type="dcterms:W3CDTF">2026-09-09T12:14:35Z</dcterms:modified>
</cp:coreProperties>
</file>